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m89\Documents\GitHub\TAX-COMPUTE\"/>
    </mc:Choice>
  </mc:AlternateContent>
  <xr:revisionPtr revIDLastSave="0" documentId="13_ncr:1_{3AE8052A-B2D2-43AD-8E2B-BD48BE033741}" xr6:coauthVersionLast="47" xr6:coauthVersionMax="47" xr10:uidLastSave="{00000000-0000-0000-0000-000000000000}"/>
  <bookViews>
    <workbookView xWindow="-28920" yWindow="1440" windowWidth="29040" windowHeight="15720" tabRatio="581" xr2:uid="{00000000-000D-0000-FFFF-FFFF00000000}"/>
  </bookViews>
  <sheets>
    <sheet name="專業稅費分算計算機" sheetId="1" r:id="rId1"/>
    <sheet name="稅率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AA9" i="1"/>
  <c r="AA8" i="1"/>
  <c r="AA7" i="1"/>
  <c r="C24" i="1" s="1"/>
  <c r="AA6" i="1"/>
  <c r="C23" i="1" s="1"/>
  <c r="AA4" i="1"/>
  <c r="AA3" i="1"/>
  <c r="AB1" i="1" s="1"/>
  <c r="D16" i="1" s="1"/>
  <c r="AA2" i="1"/>
  <c r="I8" i="1" s="1"/>
  <c r="AA1" i="1"/>
  <c r="C2" i="1" s="1"/>
  <c r="E2" i="1" l="1"/>
  <c r="AA10" i="1"/>
  <c r="AB2" i="1" s="1"/>
  <c r="D17" i="1" s="1"/>
  <c r="AB21" i="1"/>
  <c r="AB4" i="1"/>
  <c r="AB5" i="1"/>
  <c r="AB7" i="1" s="1"/>
  <c r="AB9" i="1" s="1"/>
  <c r="AA5" i="1"/>
  <c r="AB11" i="1" s="1"/>
  <c r="C16" i="1" s="1"/>
  <c r="AB22" i="1"/>
  <c r="I2" i="1"/>
  <c r="C3" i="1"/>
  <c r="AB8" i="1"/>
  <c r="I3" i="1" s="1"/>
  <c r="AB23" i="1" l="1"/>
  <c r="D25" i="1" s="1"/>
  <c r="A26" i="1" s="1"/>
  <c r="AB6" i="1"/>
  <c r="C4" i="1"/>
  <c r="AB3" i="1"/>
  <c r="AB13" i="1"/>
  <c r="C17" i="1" s="1"/>
  <c r="AB10" i="1"/>
  <c r="B16" i="1" s="1"/>
  <c r="AB12" i="1"/>
  <c r="B17" i="1" s="1"/>
  <c r="I9" i="1"/>
  <c r="E16" i="1" l="1"/>
  <c r="F16" i="1" s="1"/>
  <c r="E17" i="1"/>
  <c r="AB25" i="1" s="1"/>
  <c r="B29" i="1" s="1"/>
  <c r="AB26" i="1"/>
  <c r="C29" i="1" s="1"/>
  <c r="F17" i="1" l="1"/>
  <c r="B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陳定康</author>
  </authors>
  <commentList>
    <comment ref="B2" authorId="0" shapeId="0" xr:uid="{00000000-0006-0000-0000-000001000000}">
      <text>
        <r>
          <rPr>
            <sz val="11"/>
            <color theme="1"/>
            <rFont val="新細明體"/>
            <family val="2"/>
            <scheme val="minor"/>
          </rPr>
          <t>請輸入民國年日期。
格式為 YYYMMDD 或 YYMMDD。
範例：114年10月1日，請輸入 1141001。</t>
        </r>
      </text>
    </comment>
    <comment ref="B3" authorId="0" shapeId="0" xr:uid="{00000000-0006-0000-0000-000002000000}">
      <text>
        <r>
          <rPr>
            <sz val="11"/>
            <color theme="1"/>
            <rFont val="新細明體"/>
            <family val="2"/>
            <scheme val="minor"/>
          </rPr>
          <t>請輸入民國年日期。
格式為 YYYMMDD 或 YYMMDD。
範例：114年10月31日，請輸入 1141031。</t>
        </r>
      </text>
    </comment>
    <comment ref="B4" authorId="0" shapeId="0" xr:uid="{00000000-0006-0000-0000-000003000000}">
      <text>
        <r>
          <rPr>
            <sz val="11"/>
            <color theme="1"/>
            <rFont val="新細明體"/>
            <family val="2"/>
            <scheme val="minor"/>
          </rPr>
          <t>此選項將影響交屋當日費用歸屬：
● 否 (預設)：交屋日歸【賣方】負責。
● 是：交屋日歸【買方】負責。</t>
        </r>
      </text>
    </comment>
    <comment ref="C7" authorId="0" shapeId="0" xr:uid="{00000000-0006-0000-0000-000004000000}">
      <text>
        <r>
          <rPr>
            <sz val="11"/>
            <color theme="1"/>
            <rFont val="新細明體"/>
            <family val="2"/>
            <scheme val="minor"/>
          </rPr>
          <t>請輸入分數，例如：1/4。
若此欄位與左側百分比欄位皆有數值，將【優先採用此分數】進行計算。</t>
        </r>
      </text>
    </comment>
    <comment ref="B9" authorId="0" shapeId="0" xr:uid="{00000000-0006-0000-0000-000005000000}">
      <text>
        <r>
          <rPr>
            <sz val="11"/>
            <color theme="1"/>
            <rFont val="新細明體"/>
            <family val="2"/>
            <scheme val="minor"/>
          </rPr>
          <t>請輸入房屋評定現值總額。
【新功能】可使用減法格式輸入：
[總現值]-[免稅騎樓現值]
範例: 13272200-277300</t>
        </r>
      </text>
    </comment>
    <comment ref="B12" authorId="0" shapeId="0" xr:uid="{00000000-0006-0000-0000-000006000000}">
      <text>
        <r>
          <rPr>
            <sz val="11"/>
            <color theme="1"/>
            <rFont val="新細明體"/>
            <family val="2"/>
            <scheme val="minor"/>
          </rPr>
          <t>若您已知曉年度總稅額，可直接填寫於此。
系統將【優先採用此處稅額】，並忽略上方「模式一」的詳細資料。</t>
        </r>
      </text>
    </comment>
    <comment ref="B13" authorId="0" shapeId="0" xr:uid="{00000000-0006-0000-0000-000007000000}">
      <text>
        <r>
          <rPr>
            <sz val="11"/>
            <color theme="1"/>
            <rFont val="新細明體"/>
            <family val="2"/>
            <scheme val="minor"/>
          </rPr>
          <t>若您已知曉年度總稅額，可直接填寫於此。
系統將【優先採用此處稅額】，並忽略上方「模式一」的詳細資料。</t>
        </r>
      </text>
    </comment>
    <comment ref="B23" authorId="0" shapeId="0" xr:uid="{00000000-0006-0000-0000-000008000000}">
      <text>
        <r>
          <rPr>
            <sz val="11"/>
            <color theme="1"/>
            <rFont val="新細明體"/>
            <family val="2"/>
            <scheme val="minor"/>
          </rPr>
          <t>請輸入費用已預繳之「截止日期」。
格式為 YYYMMDD 或 YYMMDD。
範例：預繳至114年10月31日，請輸入 1141031。</t>
        </r>
      </text>
    </comment>
    <comment ref="B24" authorId="0" shapeId="0" xr:uid="{00000000-0006-0000-0000-000009000000}">
      <text>
        <r>
          <rPr>
            <sz val="11"/>
            <color theme="1"/>
            <rFont val="新細明體"/>
            <family val="2"/>
            <scheme val="minor"/>
          </rPr>
          <t>請輸入費用已預繳之「截止日期」。
格式為 YYYMMDD 或 YYMMDD。
範例：預繳至114年10月31日，請輸入 1141031。</t>
        </r>
      </text>
    </comment>
  </commentList>
</comments>
</file>

<file path=xl/sharedStrings.xml><?xml version="1.0" encoding="utf-8"?>
<sst xmlns="http://schemas.openxmlformats.org/spreadsheetml/2006/main" count="62" uniqueCount="59">
  <si>
    <t>【稅務資訊備註】</t>
  </si>
  <si>
    <t>權狀登記(過戶)日期</t>
  </si>
  <si>
    <t>房屋點交(交屋)日期</t>
  </si>
  <si>
    <t>是否帶租約交屋</t>
  </si>
  <si>
    <t>否</t>
  </si>
  <si>
    <t>模式一：詳細資料輸入</t>
  </si>
  <si>
    <t>申報地價 (元/m²)</t>
  </si>
  <si>
    <t>土地面積 (m²)</t>
  </si>
  <si>
    <t>權利範圍 (% 或 分數)</t>
  </si>
  <si>
    <t>一般用地 (千分之十)</t>
  </si>
  <si>
    <t>地價稅率</t>
  </si>
  <si>
    <t>自住用-全國3戶內</t>
  </si>
  <si>
    <t>模式二：快速稅額輸入</t>
  </si>
  <si>
    <t>若填寫此區藍色欄位，將優先採用此處稅額進行計算。</t>
  </si>
  <si>
    <t>年度應納房屋稅 (快速)</t>
  </si>
  <si>
    <t>（二）核心稅費計算</t>
  </si>
  <si>
    <t>項目</t>
  </si>
  <si>
    <t>賣方持有期間</t>
  </si>
  <si>
    <t>買方持有期間</t>
  </si>
  <si>
    <t>年度總稅額</t>
  </si>
  <si>
    <t>找補金額</t>
  </si>
  <si>
    <t>備註 (計算過程)</t>
  </si>
  <si>
    <t>地價稅</t>
  </si>
  <si>
    <t>房屋稅</t>
  </si>
  <si>
    <t>（三）其他費用分算</t>
  </si>
  <si>
    <t>管理費(月)</t>
  </si>
  <si>
    <t>請填寫月繳金額，若無則填 0。
找補金額將依交屋日與費用預繳截止日，按當月天數比例分算。</t>
  </si>
  <si>
    <t>車位清潔費(月)</t>
  </si>
  <si>
    <t>押金/保證金</t>
  </si>
  <si>
    <t>此金額將作為「賣方應付給買方」的款項</t>
  </si>
  <si>
    <t>管理費已預繳至</t>
  </si>
  <si>
    <t>車位清潔費已預繳至</t>
  </si>
  <si>
    <t>其他費用找補金額 (管理費、清潔費)</t>
  </si>
  <si>
    <t>（四）最終結算</t>
  </si>
  <si>
    <t>應付總計</t>
  </si>
  <si>
    <t>買方應收總計</t>
  </si>
  <si>
    <t>賣方應收總計</t>
  </si>
  <si>
    <t>最終結算結果</t>
  </si>
  <si>
    <t>本計算機由 陳定康 設計</t>
  </si>
  <si>
    <t>房屋使用情境選項</t>
  </si>
  <si>
    <t>對應稅率</t>
  </si>
  <si>
    <t>地價稅率選項</t>
  </si>
  <si>
    <t>自住用-全國單一自住(現值一定金額下)</t>
  </si>
  <si>
    <t>自用住宅 (千分之二)</t>
  </si>
  <si>
    <t>公益出租人/社會住宅</t>
  </si>
  <si>
    <t>非自住-出租(達租金標準)/繼承共有-4戶內</t>
  </si>
  <si>
    <t>非自住-出租(達租金標準)/繼承共有-5~6戶</t>
  </si>
  <si>
    <t>非自住-出租(達租金標準)/繼承共有-7戶以上</t>
  </si>
  <si>
    <t>非自住-其他住家用-2戶內</t>
  </si>
  <si>
    <t>非自住-其他住家用-3~4戶</t>
  </si>
  <si>
    <t>非自住-其他住家用-5~6戶</t>
  </si>
  <si>
    <t>非自住-其他住家用-7戶以上</t>
  </si>
  <si>
    <t>營業用</t>
  </si>
  <si>
    <t>私人醫院/診所/事務所用</t>
  </si>
  <si>
    <t>非住家非營業用(人民團體等)</t>
  </si>
  <si>
    <t>房屋使用情境</t>
    <phoneticPr fontId="3" type="noConversion"/>
  </si>
  <si>
    <t>年度應納地價稅 (快速)</t>
    <phoneticPr fontId="3" type="noConversion"/>
  </si>
  <si>
    <t>房屋現值 (元)</t>
    <phoneticPr fontId="3" type="noConversion"/>
  </si>
  <si>
    <t>不動產買賣稅費分算計算機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</si>
</sst>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&quot;%&quot;"/>
    <numFmt numFmtId="177" formatCode="&quot;NT$ &quot;#,##0"/>
    <numFmt numFmtId="178" formatCode="0.000%"/>
  </numFmts>
  <fonts count="8" x14ac:knownFonts="1">
    <font>
      <sz val="11"/>
      <color theme="1"/>
      <name val="新細明體"/>
      <family val="2"/>
      <scheme val="minor"/>
    </font>
    <font>
      <b/>
      <sz val="12"/>
      <name val="微軟正黑體"/>
      <family val="2"/>
      <charset val="136"/>
    </font>
    <font>
      <i/>
      <sz val="11"/>
      <name val="微軟正黑體"/>
      <family val="2"/>
      <charset val="136"/>
    </font>
    <font>
      <sz val="9"/>
      <name val="新細明體"/>
      <family val="3"/>
      <charset val="136"/>
      <scheme val="minor"/>
    </font>
    <font>
      <b/>
      <sz val="11"/>
      <name val="微軟正黑體"/>
      <family val="2"/>
      <charset val="136"/>
    </font>
    <font>
      <sz val="11"/>
      <name val="微軟正黑體"/>
      <family val="2"/>
      <charset val="136"/>
    </font>
    <font>
      <b/>
      <sz val="11"/>
      <color rgb="FFC00000"/>
      <name val="微軟正黑體"/>
      <family val="2"/>
      <charset val="136"/>
    </font>
    <font>
      <sz val="11"/>
      <color rgb="FF808080"/>
      <name val="微軟正黑體"/>
      <family val="2"/>
      <charset val="136"/>
    </font>
  </fonts>
  <fills count="11">
    <fill>
      <patternFill patternType="none"/>
    </fill>
    <fill>
      <patternFill patternType="gray125"/>
    </fill>
    <fill>
      <patternFill patternType="solid">
        <fgColor rgb="FFD7E9D1"/>
        <bgColor rgb="FFD7E9D1"/>
      </patternFill>
    </fill>
    <fill>
      <patternFill patternType="solid">
        <fgColor rgb="FFE7E6E6"/>
        <bgColor rgb="FFE7E6E6"/>
      </patternFill>
    </fill>
    <fill>
      <patternFill patternType="solid">
        <fgColor rgb="FFFFFFE0"/>
        <bgColor rgb="FFFFFFE0"/>
      </patternFill>
    </fill>
    <fill>
      <patternFill patternType="solid">
        <fgColor rgb="FFEAF1FF"/>
        <bgColor rgb="FFEAF1FF"/>
      </patternFill>
    </fill>
    <fill>
      <patternFill patternType="solid">
        <fgColor rgb="FFE2EFDA"/>
        <bgColor rgb="FFE2EFDA"/>
      </patternFill>
    </fill>
    <fill>
      <patternFill patternType="solid">
        <fgColor rgb="FFDEEBF7"/>
        <bgColor rgb="FFDEEBF7"/>
      </patternFill>
    </fill>
    <fill>
      <patternFill patternType="solid">
        <fgColor rgb="FFFFF2E6"/>
        <bgColor rgb="FFFFF2E6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10" fontId="0" fillId="0" borderId="0" xfId="0" applyNumberFormat="1"/>
    <xf numFmtId="178" fontId="0" fillId="0" borderId="0" xfId="0" applyNumberFormat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Font="1"/>
    <xf numFmtId="0" fontId="0" fillId="0" borderId="0" xfId="0" applyFont="1"/>
    <xf numFmtId="0" fontId="4" fillId="0" borderId="1" xfId="0" applyFont="1" applyBorder="1"/>
    <xf numFmtId="0" fontId="0" fillId="0" borderId="1" xfId="0" applyFont="1" applyBorder="1"/>
    <xf numFmtId="0" fontId="5" fillId="3" borderId="1" xfId="0" applyFont="1" applyFill="1" applyBorder="1" applyAlignment="1">
      <alignment horizontal="righ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176" fontId="5" fillId="4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0" fillId="9" borderId="1" xfId="0" applyFont="1" applyFill="1" applyBorder="1"/>
    <xf numFmtId="10" fontId="5" fillId="4" borderId="1" xfId="0" applyNumberFormat="1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left" vertical="center" wrapText="1"/>
    </xf>
    <xf numFmtId="0" fontId="0" fillId="10" borderId="1" xfId="0" applyFont="1" applyFill="1" applyBorder="1"/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3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0" fillId="0" borderId="1" xfId="0" applyFont="1" applyBorder="1"/>
    <xf numFmtId="0" fontId="4" fillId="0" borderId="1" xfId="0" applyFont="1" applyBorder="1" applyAlignment="1">
      <alignment horizontal="center" vertical="center" wrapText="1"/>
    </xf>
    <xf numFmtId="3" fontId="4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177" fontId="4" fillId="0" borderId="1" xfId="0" applyNumberFormat="1" applyFont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0" fillId="0" borderId="2" xfId="0" applyFont="1" applyBorder="1"/>
    <xf numFmtId="0" fontId="7" fillId="0" borderId="0" xfId="0" applyFont="1" applyAlignment="1">
      <alignment horizontal="right" vertical="center" wrapText="1"/>
    </xf>
    <xf numFmtId="0" fontId="5" fillId="4" borderId="1" xfId="0" applyFont="1" applyFill="1" applyBorder="1" applyAlignment="1" applyProtection="1">
      <alignment horizontal="center" vertical="center" wrapText="1"/>
      <protection locked="0"/>
    </xf>
    <xf numFmtId="0" fontId="5" fillId="4" borderId="1" xfId="0" applyFont="1" applyFill="1" applyBorder="1" applyAlignment="1" applyProtection="1">
      <alignment horizontal="center" vertical="center" wrapText="1"/>
      <protection locked="0"/>
    </xf>
    <xf numFmtId="0" fontId="0" fillId="0" borderId="1" xfId="0" applyFont="1" applyBorder="1" applyProtection="1">
      <protection locked="0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134471</xdr:colOff>
      <xdr:row>0</xdr:row>
      <xdr:rowOff>437029</xdr:rowOff>
    </xdr:from>
    <xdr:to>
      <xdr:col>7</xdr:col>
      <xdr:colOff>481853</xdr:colOff>
      <xdr:row>6</xdr:row>
      <xdr:rowOff>179294</xdr:rowOff>
    </xdr:to>
    <xdr:sp macro="[0]!ClearInputs_Final" textlink="">
      <xdr:nvSpPr>
        <xdr:cNvPr id="2" name="橢圓 1">
          <a:extLst>
            <a:ext uri="{FF2B5EF4-FFF2-40B4-BE49-F238E27FC236}">
              <a16:creationId xmlns:a16="http://schemas.microsoft.com/office/drawing/2014/main" id="{5F6176E1-6749-7AE5-DA53-7BD20C417952}"/>
            </a:ext>
          </a:extLst>
        </xdr:cNvPr>
        <xdr:cNvSpPr/>
      </xdr:nvSpPr>
      <xdr:spPr>
        <a:xfrm>
          <a:off x="9950824" y="437029"/>
          <a:ext cx="1568823" cy="3630706"/>
        </a:xfrm>
        <a:prstGeom prst="ellipse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zh-TW" altLang="en-US" sz="3600" b="1">
              <a:solidFill>
                <a:sysClr val="windowText" lastClr="000000"/>
              </a:solidFill>
            </a:rPr>
            <a:t>清</a:t>
          </a:r>
          <a:endParaRPr lang="en-US" altLang="zh-TW" sz="3600" b="1">
            <a:solidFill>
              <a:sysClr val="windowText" lastClr="000000"/>
            </a:solidFill>
          </a:endParaRPr>
        </a:p>
        <a:p>
          <a:pPr algn="ctr"/>
          <a:r>
            <a:rPr lang="zh-TW" altLang="en-US" sz="3600" b="1">
              <a:solidFill>
                <a:sysClr val="windowText" lastClr="000000"/>
              </a:solidFill>
            </a:rPr>
            <a:t>除</a:t>
          </a:r>
          <a:endParaRPr lang="en-US" altLang="zh-TW" sz="3600" b="1">
            <a:solidFill>
              <a:sysClr val="windowText" lastClr="000000"/>
            </a:solidFill>
          </a:endParaRPr>
        </a:p>
        <a:p>
          <a:pPr algn="ctr"/>
          <a:r>
            <a:rPr lang="zh-TW" altLang="en-US" sz="3600" b="1">
              <a:solidFill>
                <a:sysClr val="windowText" lastClr="000000"/>
              </a:solidFill>
            </a:rPr>
            <a:t>資</a:t>
          </a:r>
          <a:endParaRPr lang="en-US" altLang="zh-TW" sz="3600" b="1">
            <a:solidFill>
              <a:sysClr val="windowText" lastClr="000000"/>
            </a:solidFill>
          </a:endParaRPr>
        </a:p>
        <a:p>
          <a:pPr algn="ctr"/>
          <a:r>
            <a:rPr lang="zh-TW" altLang="en-US" sz="3600" b="1">
              <a:solidFill>
                <a:sysClr val="windowText" lastClr="000000"/>
              </a:solidFill>
            </a:rPr>
            <a:t>料</a:t>
          </a:r>
          <a:endParaRPr lang="en-US" altLang="zh-TW" sz="3600" b="1">
            <a:solidFill>
              <a:sysClr val="windowText" lastClr="00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AB39"/>
  <sheetViews>
    <sheetView tabSelected="1" zoomScaleNormal="100" workbookViewId="0">
      <selection activeCell="B3" sqref="B3"/>
    </sheetView>
  </sheetViews>
  <sheetFormatPr defaultRowHeight="15" x14ac:dyDescent="0.3"/>
  <cols>
    <col min="1" max="1" width="30" style="8" customWidth="1"/>
    <col min="2" max="3" width="20" style="8" customWidth="1"/>
    <col min="4" max="4" width="16" style="8" customWidth="1"/>
    <col min="5" max="5" width="29.25" style="8" customWidth="1"/>
    <col min="6" max="6" width="55" style="8" customWidth="1"/>
    <col min="7" max="7" width="20" style="8" customWidth="1"/>
    <col min="8" max="8" width="9" style="8"/>
    <col min="9" max="9" width="90" style="8" customWidth="1"/>
    <col min="10" max="26" width="9" style="8"/>
    <col min="27" max="28" width="13" style="8" hidden="1" customWidth="1"/>
    <col min="29" max="16384" width="9" style="8"/>
  </cols>
  <sheetData>
    <row r="1" spans="1:28" ht="49.95" customHeight="1" x14ac:dyDescent="0.3">
      <c r="A1" s="6" t="s">
        <v>58</v>
      </c>
      <c r="B1" s="7"/>
      <c r="C1" s="7"/>
      <c r="D1" s="7"/>
      <c r="E1" s="7"/>
      <c r="F1" s="7"/>
      <c r="I1" s="9" t="s">
        <v>0</v>
      </c>
      <c r="J1" s="10"/>
      <c r="K1" s="10"/>
      <c r="L1" s="10"/>
      <c r="M1" s="10"/>
      <c r="N1" s="10"/>
      <c r="AA1" s="8" t="str">
        <f>IFERROR(IF(LEN(B2)=7, DATE(VALUE(LEFT(B2,3))+1911, VALUE(MID(B2,4,2)), VALUE(RIGHT(B2,2))), IF(LEN(B2)=6, DATE(VALUE(LEFT(B2,2))+1911, VALUE(MID(B2,3,2)), VALUE(RIGHT(B2,2))), "")), "")</f>
        <v/>
      </c>
      <c r="AB1" s="8">
        <f>IF(B12&lt;&gt;"", B12, IFERROR(ROUND(B5*B6*(AA3/100)*VLOOKUP(B8,稅率表!$D$2:$E$3,2,FALSE),0),""))</f>
        <v>0</v>
      </c>
    </row>
    <row r="2" spans="1:28" ht="31.95" customHeight="1" x14ac:dyDescent="0.3">
      <c r="A2" s="11" t="s">
        <v>1</v>
      </c>
      <c r="B2" s="43"/>
      <c r="C2" s="13" t="str">
        <f>IF(AA1&lt;&gt;"", TEXT(AA1, "民國 e 年 m 月 d 日"), "請依左側格式輸入日期")</f>
        <v>請依左側格式輸入日期</v>
      </c>
      <c r="D2" s="10"/>
      <c r="E2" s="14" t="str">
        <f>IF(AA1="","",IF(MOD(YEAR(AA1)-1911,2)=1, "【注意】
民國 " &amp; YEAR(AA1)-1911 &amp; " 年為地價調整年！
前一年稅單僅供參考。", "【資訊】
民國 " &amp; YEAR(AA1)-1911 &amp; " 年非地價調整年。"))</f>
        <v/>
      </c>
      <c r="F2" s="10"/>
      <c r="I2" s="9" t="str">
        <f>IF(AA2="","", "一、地價稅")</f>
        <v/>
      </c>
      <c r="J2" s="10"/>
      <c r="K2" s="10"/>
      <c r="L2" s="10"/>
      <c r="M2" s="10"/>
      <c r="N2" s="10"/>
      <c r="AA2" s="8" t="str">
        <f>IFERROR(IF(LEN(B3)=7, DATE(VALUE(LEFT(B3,3))+1911, VALUE(MID(B3,4,2)), VALUE(RIGHT(B3,2))), IF(LEN(B3)=6, DATE(VALUE(LEFT(B3,2))+1911, VALUE(MID(B3,3,2)), VALUE(RIGHT(B3,2))), "")), "")</f>
        <v/>
      </c>
      <c r="AB2" s="8">
        <f>IF(B13&lt;&gt;"", B13, IFERROR(ROUND(AA10*VLOOKUP(B10, 稅率表!$A$2:$B$14, 2, FALSE),0), ""))</f>
        <v>0</v>
      </c>
    </row>
    <row r="3" spans="1:28" ht="130.05000000000001" customHeight="1" x14ac:dyDescent="0.3">
      <c r="A3" s="11" t="s">
        <v>2</v>
      </c>
      <c r="B3" s="43"/>
      <c r="C3" s="13" t="str">
        <f>IF(AA2&lt;&gt;"", TEXT(AA2, "民國 e 年 m 月 d 日"), "請依左側格式輸入日期")</f>
        <v>請依左側格式輸入日期</v>
      </c>
      <c r="D3" s="10"/>
      <c r="E3" s="10"/>
      <c r="F3" s="10"/>
      <c r="I3" s="13" t="str">
        <f>IF(AA2="","", CONCATENATE("● 開徵期間：每年 11 月 1 日至 11 月 30 日止。", CHAR(10), "● 納稅義務基準日：每年 8 月 31 日。", CHAR(10), "● 本案課稅年度：民國 ", YEAR(AA2)-1911, " 年 1 月 1 日至 ", YEAR(AA2)-1911, " 年 12 月 31 日。", CHAR(10), "● 繳納義務人：分算後，民國 ", YEAR(AA2)-1911, " 年度開徵之地價稅單將由【", AB8, "】負責繳納。"))</f>
        <v/>
      </c>
      <c r="J3" s="10"/>
      <c r="K3" s="10"/>
      <c r="L3" s="10"/>
      <c r="M3" s="10"/>
      <c r="N3" s="10"/>
      <c r="AA3" s="8">
        <f>IFERROR(IF(C7&lt;&gt;"", (LEFT(C7, FIND("/", C7)-1) / MID(C7, FIND("/", C7)+1, LEN(C7))) * 100, B7), B7)</f>
        <v>0</v>
      </c>
      <c r="AB3" s="8" t="e">
        <f>IF(AA5, 12, IFERROR(DATE(YEAR(AA2),12,31)-DATE(YEAR(AA2),1,1)+1, ""))</f>
        <v>#VALUE!</v>
      </c>
    </row>
    <row r="4" spans="1:28" ht="31.95" customHeight="1" x14ac:dyDescent="0.3">
      <c r="A4" s="11" t="s">
        <v>3</v>
      </c>
      <c r="B4" s="12" t="s">
        <v>4</v>
      </c>
      <c r="C4" s="15" t="e">
        <f>IF(AA5, "【按月分算模式】", "【按日分算模式】") &amp; " 交屋日歸屬：" &amp; IF(B4="是", "買方", "賣方")</f>
        <v>#VALUE!</v>
      </c>
      <c r="D4" s="10"/>
      <c r="E4" s="10"/>
      <c r="F4" s="10"/>
      <c r="I4" s="13"/>
      <c r="J4" s="10"/>
      <c r="K4" s="10"/>
      <c r="L4" s="10"/>
      <c r="M4" s="10"/>
      <c r="N4" s="10"/>
      <c r="AA4" s="8">
        <f>IF(B4="是", 1, 0)</f>
        <v>0</v>
      </c>
      <c r="AB4" s="8" t="str">
        <f>IFERROR(DATE(YEAR(AA2)-IF(MONTH(AA2)&lt;7,1,0),7,1), "")</f>
        <v/>
      </c>
    </row>
    <row r="5" spans="1:28" ht="31.95" customHeight="1" x14ac:dyDescent="0.3">
      <c r="A5" s="16" t="s">
        <v>5</v>
      </c>
      <c r="B5" s="44"/>
      <c r="C5" s="45"/>
      <c r="D5" s="45"/>
      <c r="E5" s="13" t="s">
        <v>6</v>
      </c>
      <c r="F5" s="10"/>
      <c r="I5" s="13"/>
      <c r="J5" s="10"/>
      <c r="K5" s="10"/>
      <c r="L5" s="10"/>
      <c r="M5" s="10"/>
      <c r="N5" s="10"/>
      <c r="AA5" s="8" t="str">
        <f>IF(AA2="","",AND(DAY(EOMONTH(AA2,0))=DAY(AA2), B4="否"))</f>
        <v/>
      </c>
      <c r="AB5" s="8" t="str">
        <f>IFERROR(DATE(YEAR(AA2)-IF(MONTH(AA2)&lt;7,1,0)+1,6,30), "")</f>
        <v/>
      </c>
    </row>
    <row r="6" spans="1:28" ht="31.95" customHeight="1" x14ac:dyDescent="0.3">
      <c r="A6" s="10"/>
      <c r="B6" s="44"/>
      <c r="C6" s="45"/>
      <c r="D6" s="45"/>
      <c r="E6" s="13" t="s">
        <v>7</v>
      </c>
      <c r="F6" s="10"/>
      <c r="I6" s="13"/>
      <c r="J6" s="10"/>
      <c r="K6" s="10"/>
      <c r="L6" s="10"/>
      <c r="M6" s="10"/>
      <c r="N6" s="10"/>
      <c r="AA6" s="8" t="str">
        <f>IFERROR(IF(LEN(B23)=7, DATE(VALUE(LEFT(B23,3))+1911, VALUE(MID(B23,4,2)), VALUE(RIGHT(B23,2))), IF(LEN(B23)=6, DATE(VALUE(LEFT(B23,2))+1911, VALUE(MID(B23,3,2)), VALUE(RIGHT(B23,2))), "")), "")</f>
        <v/>
      </c>
      <c r="AB6" s="8" t="e">
        <f>IF(AA5, 12, IFERROR(AB5-AB4+1, ""))</f>
        <v>#VALUE!</v>
      </c>
    </row>
    <row r="7" spans="1:28" ht="31.95" customHeight="1" x14ac:dyDescent="0.3">
      <c r="A7" s="10"/>
      <c r="B7" s="18"/>
      <c r="C7" s="10"/>
      <c r="D7" s="10"/>
      <c r="E7" s="13" t="s">
        <v>8</v>
      </c>
      <c r="F7" s="10"/>
      <c r="I7" s="13"/>
      <c r="J7" s="10"/>
      <c r="K7" s="10"/>
      <c r="L7" s="10"/>
      <c r="M7" s="10"/>
      <c r="N7" s="10"/>
      <c r="AA7" s="8" t="str">
        <f>IFERROR(IF(LEN(B24)=7, DATE(VALUE(LEFT(B24,3))+1911, VALUE(MID(B24,4,2)), VALUE(RIGHT(B24,2))), IF(LEN(B24)=6, DATE(VALUE(LEFT(B24,2))+1911, VALUE(MID(B24,3,2)), VALUE(RIGHT(B24,2))), "")), "")</f>
        <v/>
      </c>
      <c r="AB7" s="8" t="str">
        <f>IFERROR(EOMONTH(DATE(YEAR(AB5),2,1),0), "")</f>
        <v/>
      </c>
    </row>
    <row r="8" spans="1:28" ht="31.95" customHeight="1" x14ac:dyDescent="0.3">
      <c r="A8" s="10"/>
      <c r="B8" s="17" t="s">
        <v>9</v>
      </c>
      <c r="C8" s="10"/>
      <c r="D8" s="10"/>
      <c r="E8" s="19" t="s">
        <v>10</v>
      </c>
      <c r="F8" s="20"/>
      <c r="I8" s="13" t="str">
        <f>IF(AA2="","", "二、房屋稅")</f>
        <v/>
      </c>
      <c r="J8" s="10"/>
      <c r="K8" s="10"/>
      <c r="L8" s="10"/>
      <c r="M8" s="10"/>
      <c r="N8" s="10"/>
      <c r="AA8" s="8">
        <f>IFERROR(IF(ISNUMBER(FIND("-",B9)), VALUE(LEFT(B9, FIND("-",B9)-1)), B9), B9)</f>
        <v>0</v>
      </c>
      <c r="AB8" s="8" t="str">
        <f>IFERROR(IF(AA1&gt;DATE(YEAR(AA2),8,31), "賣方", "買方"), "")</f>
        <v/>
      </c>
    </row>
    <row r="9" spans="1:28" ht="130.05000000000001" customHeight="1" x14ac:dyDescent="0.3">
      <c r="A9" s="10"/>
      <c r="B9" s="44"/>
      <c r="C9" s="45"/>
      <c r="D9" s="45"/>
      <c r="E9" s="13" t="s">
        <v>57</v>
      </c>
      <c r="F9" s="10"/>
      <c r="I9" s="13" t="str">
        <f>IF(AA2="","", CONCATENATE("● 開徵期間：每年 5 月 1 日至 5 月 31 日止。", CHAR(10), "● 納稅義務基準日：每年 2 月之末日。", CHAR(10), "● 本案課稅期間：自民國 ", YEAR(AB4)-1911, " 年 7 月 1 日起至 ", YEAR(AB5)-1911, " 年 6 月 30 日止。", CHAR(10), "● 繳納義務人：分算後，民國 ", YEAR(AB5)-1911, " 年度開徵之房屋稅單將由【", AB9, "】負責繳納。"))</f>
        <v/>
      </c>
      <c r="J9" s="10"/>
      <c r="K9" s="10"/>
      <c r="L9" s="10"/>
      <c r="M9" s="10"/>
      <c r="N9" s="10"/>
      <c r="AA9" s="8">
        <f>IFERROR(IF(ISNUMBER(FIND("-",B9)), VALUE(MID(B9, FIND("-",B9)+1, LEN(B9))), 0), 0)</f>
        <v>0</v>
      </c>
      <c r="AB9" s="8" t="str">
        <f>IFERROR(IF(AA1&gt;AB7, "賣方", "買方"), "")</f>
        <v>買方</v>
      </c>
    </row>
    <row r="10" spans="1:28" ht="31.95" customHeight="1" x14ac:dyDescent="0.3">
      <c r="A10" s="10"/>
      <c r="B10" s="17" t="s">
        <v>52</v>
      </c>
      <c r="C10" s="10"/>
      <c r="D10" s="21">
        <f>IFERROR(VLOOKUP(B10, 稅率表!$A$2:$B$14, 2, FALSE), "")</f>
        <v>0.03</v>
      </c>
      <c r="E10" s="22" t="s">
        <v>55</v>
      </c>
      <c r="F10" s="23"/>
      <c r="I10" s="13"/>
      <c r="J10" s="10"/>
      <c r="K10" s="10"/>
      <c r="L10" s="10"/>
      <c r="M10" s="10"/>
      <c r="N10" s="10"/>
      <c r="AA10" s="8">
        <f>IF(ISNUMBER(B9), B9, AA8-AA9)</f>
        <v>0</v>
      </c>
      <c r="AB10" s="8" t="str">
        <f>IFERROR(IF(AA5, MONTH(AA2), AA2-DATE(YEAR(AA2),1,1)+1-AA4),"")</f>
        <v/>
      </c>
    </row>
    <row r="11" spans="1:28" ht="31.95" customHeight="1" x14ac:dyDescent="0.3">
      <c r="I11" s="13"/>
      <c r="J11" s="10"/>
      <c r="K11" s="10"/>
      <c r="L11" s="10"/>
      <c r="M11" s="10"/>
      <c r="N11" s="10"/>
      <c r="AB11" s="8" t="str">
        <f>IFERROR(IF(AA5, 12-MONTH(AA2), DATE(YEAR(AA2),12,31)-AA2+AA4),"")</f>
        <v/>
      </c>
    </row>
    <row r="12" spans="1:28" ht="31.95" customHeight="1" x14ac:dyDescent="0.3">
      <c r="A12" s="16" t="s">
        <v>12</v>
      </c>
      <c r="B12" s="24"/>
      <c r="C12" s="10"/>
      <c r="D12" s="10"/>
      <c r="E12" s="25" t="s">
        <v>56</v>
      </c>
      <c r="F12" s="4" t="s">
        <v>13</v>
      </c>
      <c r="I12" s="13"/>
      <c r="J12" s="10"/>
      <c r="K12" s="10"/>
      <c r="L12" s="10"/>
      <c r="M12" s="10"/>
      <c r="N12" s="10"/>
      <c r="AB12" s="8" t="str">
        <f>IFERROR(IF(AA5, IF(MONTH(AA2)&gt;=7, MONTH(AA2)-6, MONTH(AA2)+6), AA2-AB4+1-AA4),"")</f>
        <v/>
      </c>
    </row>
    <row r="13" spans="1:28" ht="31.95" customHeight="1" x14ac:dyDescent="0.3">
      <c r="A13" s="10"/>
      <c r="B13" s="24"/>
      <c r="C13" s="10"/>
      <c r="D13" s="10"/>
      <c r="E13" s="26" t="s">
        <v>14</v>
      </c>
      <c r="F13" s="10"/>
      <c r="I13" s="13"/>
      <c r="J13" s="10"/>
      <c r="K13" s="10"/>
      <c r="L13" s="10"/>
      <c r="M13" s="10"/>
      <c r="N13" s="10"/>
      <c r="AB13" s="8" t="str">
        <f>IFERROR(IF(AA5, 12 - IF(MONTH(AA2)&gt;=7, MONTH(AA2)-6, MONTH(AA2)+6), AB5-AA2+AA4),"")</f>
        <v/>
      </c>
    </row>
    <row r="14" spans="1:28" ht="31.95" customHeight="1" x14ac:dyDescent="0.3">
      <c r="A14" s="16" t="s">
        <v>15</v>
      </c>
      <c r="B14" s="10"/>
      <c r="C14" s="10"/>
      <c r="D14" s="10"/>
      <c r="E14" s="10"/>
      <c r="F14" s="10"/>
    </row>
    <row r="15" spans="1:28" ht="45" customHeight="1" x14ac:dyDescent="0.3">
      <c r="A15" s="27" t="s">
        <v>16</v>
      </c>
      <c r="B15" s="27" t="s">
        <v>17</v>
      </c>
      <c r="C15" s="27" t="s">
        <v>18</v>
      </c>
      <c r="D15" s="27" t="s">
        <v>19</v>
      </c>
      <c r="E15" s="27" t="s">
        <v>20</v>
      </c>
      <c r="F15" s="27" t="s">
        <v>21</v>
      </c>
    </row>
    <row r="16" spans="1:28" ht="78" customHeight="1" x14ac:dyDescent="0.3">
      <c r="A16" s="28" t="s">
        <v>22</v>
      </c>
      <c r="B16" s="29" t="str">
        <f>IF(AB10&lt;&gt;"", AB10 &amp; IF(AA5, " 月", " 天"), "")</f>
        <v/>
      </c>
      <c r="C16" s="29" t="str">
        <f>IF(AB11&lt;&gt;"", AB11 &amp; IF(AA5, " 月", " 天"), "")</f>
        <v/>
      </c>
      <c r="D16" s="30">
        <f>AB1</f>
        <v>0</v>
      </c>
      <c r="E16" s="30">
        <f>IFERROR(IF(AB8="賣方", ROUND(D16*AB11/AB3,0), ROUND(D16*AB10/AB3,0)),0)</f>
        <v>0</v>
      </c>
      <c r="F16" s="31" t="str">
        <f>IF(E16=0, "無需找補", "● 總稅額: " &amp; TEXT(D16,"#,##0") &amp; CHAR(10) &amp; "● 找補額: 由【" &amp; IF(AB8="賣方","買方","賣方") &amp; "】補貼納稅人【" &amp; AB8 &amp; "】" &amp; TEXT(E16,"#,##0") &amp; "元")</f>
        <v>無需找補</v>
      </c>
    </row>
    <row r="17" spans="1:28" ht="90" customHeight="1" x14ac:dyDescent="0.3">
      <c r="A17" s="28" t="s">
        <v>23</v>
      </c>
      <c r="B17" s="32" t="str">
        <f>IF(AB12&lt;&gt;"", AB12 &amp; IF(AA5, " 月", " 天"), "")</f>
        <v/>
      </c>
      <c r="C17" s="32" t="str">
        <f>IF(AB13&lt;&gt;"", AB13 &amp; IF(AA5, " 月", " 天"), "")</f>
        <v/>
      </c>
      <c r="D17" s="30">
        <f>AB2</f>
        <v>0</v>
      </c>
      <c r="E17" s="30">
        <f>IFERROR(IF(AB9="賣方", ROUND(D17*AB13/AB6,0), ROUND(D17*AB12/AB6,0)),0)</f>
        <v>0</v>
      </c>
      <c r="F17" s="31" t="str">
        <f>IF(E17=0, "無需找補", "● 總稅額: " &amp; IF(AA9&gt;0, "(" &amp; TEXT(AA8,"#,##0") &amp; " - " &amp; TEXT(AA9,"#,##0") &amp; ")", TEXT(AA10,"#,##0")) &amp; " × " &amp; TEXT(D10,"0.0%") &amp; " = " &amp; TEXT(D17,"#,##0") &amp; CHAR(10) &amp; "● 找補額: 由【" &amp; IF(AB9="賣方","買方","賣方") &amp; "】補貼納稅人【" &amp; AB9 &amp; "】" &amp; TEXT(E17,"#,##0") &amp; "元")</f>
        <v>無需找補</v>
      </c>
    </row>
    <row r="18" spans="1:28" ht="31.95" customHeight="1" x14ac:dyDescent="0.3">
      <c r="A18" s="33"/>
      <c r="B18" s="33"/>
      <c r="C18" s="33"/>
      <c r="D18" s="33"/>
      <c r="E18" s="33"/>
      <c r="F18" s="33"/>
    </row>
    <row r="19" spans="1:28" ht="31.95" customHeight="1" x14ac:dyDescent="0.3">
      <c r="A19" s="16" t="s">
        <v>24</v>
      </c>
      <c r="B19" s="10"/>
      <c r="C19" s="10"/>
      <c r="D19" s="10"/>
      <c r="E19" s="10"/>
      <c r="F19" s="10"/>
    </row>
    <row r="20" spans="1:28" ht="31.95" customHeight="1" x14ac:dyDescent="0.3">
      <c r="A20" s="11" t="s">
        <v>25</v>
      </c>
      <c r="B20" s="43"/>
      <c r="C20" s="5" t="s">
        <v>26</v>
      </c>
      <c r="D20" s="10"/>
      <c r="E20" s="10"/>
      <c r="F20" s="10"/>
    </row>
    <row r="21" spans="1:28" ht="31.95" customHeight="1" x14ac:dyDescent="0.3">
      <c r="A21" s="11" t="s">
        <v>27</v>
      </c>
      <c r="B21" s="43"/>
      <c r="C21" s="10"/>
      <c r="D21" s="10"/>
      <c r="E21" s="10"/>
      <c r="F21" s="10"/>
      <c r="AB21" s="8">
        <f>IFERROR(IF(AND(B20&gt;0, AA6&gt;=AA2), ROUND(B20 * (AA6-AA2+AA4) / DAY(EOMONTH(AA2,0)), 0), 0), 0)</f>
        <v>0</v>
      </c>
    </row>
    <row r="22" spans="1:28" ht="31.95" customHeight="1" x14ac:dyDescent="0.3">
      <c r="A22" s="11" t="s">
        <v>28</v>
      </c>
      <c r="B22" s="43"/>
      <c r="C22" s="33"/>
      <c r="D22" s="33"/>
      <c r="E22" s="5" t="s">
        <v>29</v>
      </c>
      <c r="F22" s="10"/>
      <c r="AB22" s="8">
        <f>IFERROR(IF(AND(B21&gt;0, AA7&gt;=AA2), ROUND(B21 * (AA7-AA2+AA4) / DAY(EOMONTH(AA2,0)), 0), 0), 0)</f>
        <v>0</v>
      </c>
    </row>
    <row r="23" spans="1:28" ht="31.95" customHeight="1" x14ac:dyDescent="0.3">
      <c r="A23" s="11" t="s">
        <v>30</v>
      </c>
      <c r="B23" s="12"/>
      <c r="C23" s="33" t="str">
        <f>IF(AA6&lt;&gt;"", TEXT(AA6, "民國 e 年 m 月 d 日"), "格式: YYYMMDD")</f>
        <v>格式: YYYMMDD</v>
      </c>
      <c r="D23" s="10"/>
      <c r="E23" s="10"/>
      <c r="F23" s="10"/>
      <c r="AB23" s="8">
        <f>AB21+AB22</f>
        <v>0</v>
      </c>
    </row>
    <row r="24" spans="1:28" ht="31.95" customHeight="1" x14ac:dyDescent="0.3">
      <c r="A24" s="11" t="s">
        <v>31</v>
      </c>
      <c r="B24" s="43"/>
      <c r="C24" s="33" t="str">
        <f>IF(AA7&lt;&gt;"", TEXT(AA7, "民國 e 年 m 月 d 日"), "格式: YYYMMDD")</f>
        <v>格式: YYYMMDD</v>
      </c>
      <c r="D24" s="10"/>
      <c r="E24" s="10"/>
      <c r="F24" s="10"/>
    </row>
    <row r="25" spans="1:28" ht="31.95" customHeight="1" x14ac:dyDescent="0.3">
      <c r="A25" s="34" t="s">
        <v>32</v>
      </c>
      <c r="B25" s="10"/>
      <c r="C25" s="10"/>
      <c r="D25" s="35">
        <f>AB23</f>
        <v>0</v>
      </c>
      <c r="E25" s="10"/>
      <c r="F25" s="10"/>
      <c r="AB25" s="8">
        <f>IFERROR(IF(AB8="買方", E16, 0) + IF(AB9="買方", E17, 0), 0) + IF(B22&lt;&gt;"", B22, 0)</f>
        <v>0</v>
      </c>
    </row>
    <row r="26" spans="1:28" ht="31.95" customHeight="1" x14ac:dyDescent="0.3">
      <c r="A26" s="36" t="str">
        <f>IF(D25&gt;0, "買方應補貼賣方 NT$ " &amp; TEXT(D25, "#,##0") &amp; " 元", "管理費、清潔費無需找補")</f>
        <v>管理費、清潔費無需找補</v>
      </c>
      <c r="B26" s="10"/>
      <c r="C26" s="10"/>
      <c r="D26" s="10"/>
      <c r="E26" s="10"/>
      <c r="F26" s="10"/>
      <c r="AB26" s="8">
        <f>IFERROR(IF(AB8="賣方", E16, 0) + IF(AB9="賣方", E17, 0) + AB23, 0)</f>
        <v>0</v>
      </c>
    </row>
    <row r="27" spans="1:28" ht="31.95" customHeight="1" x14ac:dyDescent="0.3">
      <c r="A27" s="16" t="s">
        <v>33</v>
      </c>
      <c r="B27" s="10"/>
      <c r="C27" s="10"/>
      <c r="D27" s="10"/>
      <c r="E27" s="10"/>
      <c r="F27" s="10"/>
    </row>
    <row r="28" spans="1:28" ht="31.95" customHeight="1" x14ac:dyDescent="0.3">
      <c r="A28" s="34" t="s">
        <v>34</v>
      </c>
      <c r="B28" s="37" t="s">
        <v>35</v>
      </c>
      <c r="C28" s="37" t="s">
        <v>36</v>
      </c>
      <c r="D28" s="10"/>
      <c r="E28" s="10"/>
      <c r="F28" s="10"/>
    </row>
    <row r="29" spans="1:28" ht="31.95" customHeight="1" x14ac:dyDescent="0.3">
      <c r="A29" s="10"/>
      <c r="B29" s="38">
        <f>AB25</f>
        <v>0</v>
      </c>
      <c r="C29" s="38">
        <f>AB26</f>
        <v>0</v>
      </c>
      <c r="D29" s="10"/>
      <c r="E29" s="10"/>
      <c r="F29" s="10"/>
    </row>
    <row r="30" spans="1:28" ht="55.05" customHeight="1" x14ac:dyDescent="0.3">
      <c r="A30" s="39" t="s">
        <v>37</v>
      </c>
      <c r="B30" s="40" t="str">
        <f>IF(C29&gt;B29, "【買方】應支付給【賣方】 NT$ " &amp; TEXT(C29-B29, "#,##0"), IF(B29&gt;C29, "【賣方】應支付給【買方】 NT$ " &amp; TEXT(B29-C29, "#,##0"), "雙方無需找補"))</f>
        <v>雙方無需找補</v>
      </c>
      <c r="C30" s="41"/>
      <c r="D30" s="41"/>
      <c r="E30" s="41"/>
      <c r="F30" s="41"/>
    </row>
    <row r="31" spans="1:28" ht="31.95" customHeight="1" x14ac:dyDescent="0.3">
      <c r="A31" s="41"/>
      <c r="B31" s="41"/>
      <c r="C31" s="41"/>
      <c r="D31" s="41"/>
      <c r="E31" s="41"/>
      <c r="F31" s="41"/>
    </row>
    <row r="32" spans="1:28" ht="31.95" customHeight="1" x14ac:dyDescent="0.3"/>
    <row r="33" spans="1:6" ht="31.95" customHeight="1" x14ac:dyDescent="0.3">
      <c r="A33" s="42" t="s">
        <v>38</v>
      </c>
      <c r="B33" s="7"/>
      <c r="C33" s="7"/>
      <c r="D33" s="7"/>
      <c r="E33" s="7"/>
      <c r="F33" s="7"/>
    </row>
    <row r="34" spans="1:6" ht="31.95" customHeight="1" x14ac:dyDescent="0.3"/>
    <row r="35" spans="1:6" ht="31.95" customHeight="1" x14ac:dyDescent="0.3"/>
    <row r="36" spans="1:6" ht="31.95" customHeight="1" x14ac:dyDescent="0.3"/>
    <row r="37" spans="1:6" ht="31.95" customHeight="1" x14ac:dyDescent="0.3"/>
    <row r="38" spans="1:6" ht="31.95" customHeight="1" x14ac:dyDescent="0.3"/>
    <row r="39" spans="1:6" ht="31.95" customHeight="1" x14ac:dyDescent="0.3"/>
  </sheetData>
  <mergeCells count="42">
    <mergeCell ref="I2:N2"/>
    <mergeCell ref="A1:F1"/>
    <mergeCell ref="E22:F22"/>
    <mergeCell ref="B12:D12"/>
    <mergeCell ref="C3:D3"/>
    <mergeCell ref="I1:N1"/>
    <mergeCell ref="I8:N8"/>
    <mergeCell ref="D25:F25"/>
    <mergeCell ref="E9:F9"/>
    <mergeCell ref="B6:D6"/>
    <mergeCell ref="D24:F24"/>
    <mergeCell ref="E6:F6"/>
    <mergeCell ref="B5:D5"/>
    <mergeCell ref="C2:D2"/>
    <mergeCell ref="A19:F19"/>
    <mergeCell ref="D23:F23"/>
    <mergeCell ref="B10:C10"/>
    <mergeCell ref="E2:F4"/>
    <mergeCell ref="A5:A10"/>
    <mergeCell ref="I9:N13"/>
    <mergeCell ref="C7:D7"/>
    <mergeCell ref="I3:N7"/>
    <mergeCell ref="A33:F33"/>
    <mergeCell ref="E10:F10"/>
    <mergeCell ref="A12:A13"/>
    <mergeCell ref="A14:F14"/>
    <mergeCell ref="B9:D9"/>
    <mergeCell ref="B30:F31"/>
    <mergeCell ref="D28:F29"/>
    <mergeCell ref="E7:F7"/>
    <mergeCell ref="A28:A29"/>
    <mergeCell ref="A30:A31"/>
    <mergeCell ref="E5:F5"/>
    <mergeCell ref="B13:D13"/>
    <mergeCell ref="A26:F26"/>
    <mergeCell ref="E8:F8"/>
    <mergeCell ref="C4:D4"/>
    <mergeCell ref="A25:C25"/>
    <mergeCell ref="B8:D8"/>
    <mergeCell ref="F12:F13"/>
    <mergeCell ref="C20:F21"/>
    <mergeCell ref="A27:F27"/>
  </mergeCells>
  <phoneticPr fontId="3" type="noConversion"/>
  <dataValidations count="2">
    <dataValidation type="list" sqref="B4" xr:uid="{00000000-0002-0000-0000-000000000000}">
      <formula1>"是,否"</formula1>
    </dataValidation>
    <dataValidation type="custom" errorTitle="日期輸入錯誤" error="【房屋點交日期】必須晚於或等於【權狀登記日期】。_x000a__x000a_請重新輸入正確的日期。" sqref="B3" xr:uid="{00000000-0002-0000-0000-000003000000}">
      <formula1>AA2&gt;=AA1</formula1>
    </dataValidation>
  </dataValidations>
  <pageMargins left="0.75" right="0.75" top="1" bottom="1" header="0.5" footer="0.5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000-000001000000}">
          <x14:formula1>
            <xm:f>稅率表!$D$2:$D$3</xm:f>
          </x14:formula1>
          <xm:sqref>B8</xm:sqref>
        </x14:dataValidation>
        <x14:dataValidation type="list" xr:uid="{00000000-0002-0000-0000-000002000000}">
          <x14:formula1>
            <xm:f>稅率表!$A$2:$A$14</xm:f>
          </x14:formula1>
          <xm:sqref>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/>
  <dimension ref="A1:E14"/>
  <sheetViews>
    <sheetView workbookViewId="0"/>
  </sheetViews>
  <sheetFormatPr defaultRowHeight="15" x14ac:dyDescent="0.3"/>
  <cols>
    <col min="1" max="1" width="45" customWidth="1"/>
    <col min="2" max="2" width="15" customWidth="1"/>
    <col min="4" max="4" width="30" customWidth="1"/>
    <col min="5" max="5" width="15" customWidth="1"/>
  </cols>
  <sheetData>
    <row r="1" spans="1:5" ht="15.6" x14ac:dyDescent="0.3">
      <c r="A1" s="1" t="s">
        <v>39</v>
      </c>
      <c r="B1" s="1" t="s">
        <v>40</v>
      </c>
      <c r="D1" s="1" t="s">
        <v>41</v>
      </c>
      <c r="E1" s="1" t="s">
        <v>40</v>
      </c>
    </row>
    <row r="2" spans="1:5" x14ac:dyDescent="0.3">
      <c r="A2" t="s">
        <v>42</v>
      </c>
      <c r="B2" s="2">
        <v>0.01</v>
      </c>
      <c r="D2" t="s">
        <v>43</v>
      </c>
      <c r="E2" s="3">
        <v>2E-3</v>
      </c>
    </row>
    <row r="3" spans="1:5" x14ac:dyDescent="0.3">
      <c r="A3" t="s">
        <v>11</v>
      </c>
      <c r="B3" s="2">
        <v>1.2E-2</v>
      </c>
      <c r="D3" t="s">
        <v>9</v>
      </c>
      <c r="E3" s="3">
        <v>0.01</v>
      </c>
    </row>
    <row r="4" spans="1:5" x14ac:dyDescent="0.3">
      <c r="A4" t="s">
        <v>44</v>
      </c>
      <c r="B4" s="2">
        <v>1.2E-2</v>
      </c>
    </row>
    <row r="5" spans="1:5" x14ac:dyDescent="0.3">
      <c r="A5" t="s">
        <v>45</v>
      </c>
      <c r="B5" s="2">
        <v>1.4999999999999999E-2</v>
      </c>
    </row>
    <row r="6" spans="1:5" x14ac:dyDescent="0.3">
      <c r="A6" t="s">
        <v>46</v>
      </c>
      <c r="B6" s="2">
        <v>0.02</v>
      </c>
    </row>
    <row r="7" spans="1:5" x14ac:dyDescent="0.3">
      <c r="A7" t="s">
        <v>47</v>
      </c>
      <c r="B7" s="2">
        <v>2.4E-2</v>
      </c>
    </row>
    <row r="8" spans="1:5" x14ac:dyDescent="0.3">
      <c r="A8" t="s">
        <v>48</v>
      </c>
      <c r="B8" s="2">
        <v>3.2000000000000001E-2</v>
      </c>
    </row>
    <row r="9" spans="1:5" x14ac:dyDescent="0.3">
      <c r="A9" t="s">
        <v>49</v>
      </c>
      <c r="B9" s="2">
        <v>3.7999999999999999E-2</v>
      </c>
    </row>
    <row r="10" spans="1:5" x14ac:dyDescent="0.3">
      <c r="A10" t="s">
        <v>50</v>
      </c>
      <c r="B10" s="2">
        <v>4.2000000000000003E-2</v>
      </c>
    </row>
    <row r="11" spans="1:5" x14ac:dyDescent="0.3">
      <c r="A11" t="s">
        <v>51</v>
      </c>
      <c r="B11" s="2">
        <v>4.8000000000000001E-2</v>
      </c>
    </row>
    <row r="12" spans="1:5" x14ac:dyDescent="0.3">
      <c r="A12" t="s">
        <v>52</v>
      </c>
      <c r="B12" s="2">
        <v>0.03</v>
      </c>
    </row>
    <row r="13" spans="1:5" x14ac:dyDescent="0.3">
      <c r="A13" t="s">
        <v>53</v>
      </c>
      <c r="B13" s="2">
        <v>0.03</v>
      </c>
    </row>
    <row r="14" spans="1:5" x14ac:dyDescent="0.3">
      <c r="A14" t="s">
        <v>54</v>
      </c>
      <c r="B14" s="2">
        <v>0.02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專業稅費分算計算機</vt:lpstr>
      <vt:lpstr>稅率表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不動產買賣稅費分算計算機</dc:title>
  <dc:creator>陳定康</dc:creator>
  <dc:description>此工具用於精確計算不動產買賣過程中，買賣雙方應分攤之地價稅、房屋稅及其他相關費用。</dc:description>
  <cp:lastModifiedBy>bukn084</cp:lastModifiedBy>
  <dcterms:created xsi:type="dcterms:W3CDTF">2025-10-10T13:29:00Z</dcterms:created>
  <dcterms:modified xsi:type="dcterms:W3CDTF">2025-10-10T13:44:21Z</dcterms:modified>
</cp:coreProperties>
</file>