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TAX-COMPUTE\"/>
    </mc:Choice>
  </mc:AlternateContent>
  <xr:revisionPtr revIDLastSave="0" documentId="13_ncr:1_{37ACE288-1268-4F95-B1CC-EF32F760367C}" xr6:coauthVersionLast="47" xr6:coauthVersionMax="47" xr10:uidLastSave="{00000000-0000-0000-0000-000000000000}"/>
  <bookViews>
    <workbookView xWindow="21480" yWindow="-120" windowWidth="29040" windowHeight="15720" xr2:uid="{00000000-000D-0000-FFFF-FFFF00000000}"/>
  </bookViews>
  <sheets>
    <sheet name="交屋分算(費用明細)" sheetId="1" r:id="rId1"/>
  </sheets>
  <definedNames>
    <definedName name="_xlnm.Print_Titles" localSheetId="0">'交屋分算(費用明細)'!$7:$7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C6" i="1"/>
  <c r="C5" i="1"/>
  <c r="C4" i="1"/>
  <c r="D23" i="1" l="1"/>
  <c r="D30" i="1" s="1"/>
  <c r="J22" i="1"/>
  <c r="J30" i="1" s="1"/>
  <c r="K31" i="1" l="1"/>
  <c r="A31" i="1" s="1"/>
</calcChain>
</file>

<file path=xl/sharedStrings.xml><?xml version="1.0" encoding="utf-8"?>
<sst xmlns="http://schemas.openxmlformats.org/spreadsheetml/2006/main" count="45" uniqueCount="44">
  <si>
    <t>交屋租金分算表</t>
  </si>
  <si>
    <t>買方:</t>
  </si>
  <si>
    <t>陳小明</t>
  </si>
  <si>
    <t>賣方:</t>
  </si>
  <si>
    <t>林大華</t>
  </si>
  <si>
    <t>房屋地址:</t>
  </si>
  <si>
    <t>台北市信義區信義路五段7號</t>
  </si>
  <si>
    <t>交屋日期 (7碼)</t>
  </si>
  <si>
    <t>(買賣雙方合意如租金有誤時，雙方另行找補)</t>
  </si>
  <si>
    <t>交屋日算誰的</t>
  </si>
  <si>
    <t>計算基準</t>
  </si>
  <si>
    <t>當月實際天數</t>
  </si>
  <si>
    <t>房號/租客</t>
  </si>
  <si>
    <t>租期起</t>
  </si>
  <si>
    <t>租期訖</t>
  </si>
  <si>
    <t>月租金</t>
  </si>
  <si>
    <t>押金</t>
  </si>
  <si>
    <t>租客已繳至</t>
  </si>
  <si>
    <t>賣方補貼買方
(計算詳情)</t>
  </si>
  <si>
    <t>補貼金額</t>
  </si>
  <si>
    <t>買方補貼賣方
(計算詳情)</t>
  </si>
  <si>
    <t>301 (範例)</t>
  </si>
  <si>
    <t>賣方應付項目 (Debits)</t>
  </si>
  <si>
    <t>買方應付項目及費用 (Credits)</t>
  </si>
  <si>
    <t>1. 押金移轉</t>
  </si>
  <si>
    <t>1. 買方補貼賣方 (短收租金)</t>
  </si>
  <si>
    <t>2. 賣方補貼買方 (溢收租金)</t>
  </si>
  <si>
    <t>3. 其他費用 (1)</t>
  </si>
  <si>
    <t>4. 其他費用 (2)</t>
  </si>
  <si>
    <t>5. 其他費用 (3)</t>
  </si>
  <si>
    <t>6. 其他費用 (4)</t>
  </si>
  <si>
    <t>7. 其他費用 (1)</t>
  </si>
  <si>
    <t>8. 其他費用 (2)</t>
  </si>
  <si>
    <t>賣方應付小計</t>
  </si>
  <si>
    <t>買方應付小計</t>
  </si>
  <si>
    <t>買方簽章：____________________</t>
  </si>
  <si>
    <t>賣方簽章：____________________</t>
  </si>
  <si>
    <t>備註 / Remarks：</t>
  </si>
  <si>
    <t>歸賣方</t>
  </si>
  <si>
    <t>6. 寬頻押金</t>
    <phoneticPr fontId="11" type="noConversion"/>
  </si>
  <si>
    <t>5. 監視器費用</t>
    <phoneticPr fontId="11" type="noConversion"/>
  </si>
  <si>
    <t>4. 網路費用</t>
    <phoneticPr fontId="11" type="noConversion"/>
  </si>
  <si>
    <t>3. 有線電視費用</t>
    <phoneticPr fontId="11" type="noConversion"/>
  </si>
  <si>
    <t>2. 機上盒保證金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</si>
</sst>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b/>
      <sz val="18"/>
      <color rgb="FF1E293B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b/>
      <sz val="11"/>
      <color rgb="FF0F172A"/>
      <name val="微軟正黑體"/>
      <family val="2"/>
      <charset val="136"/>
    </font>
    <font>
      <b/>
      <sz val="10"/>
      <color rgb="FFE11D48"/>
      <name val="微軟正黑體"/>
      <family val="2"/>
      <charset val="136"/>
    </font>
    <font>
      <sz val="9"/>
      <color rgb="FF64748B"/>
      <name val="微軟正黑體"/>
      <family val="2"/>
      <charset val="136"/>
    </font>
    <font>
      <sz val="11"/>
      <color rgb="FF334155"/>
      <name val="微軟正黑體"/>
      <family val="2"/>
      <charset val="136"/>
    </font>
    <font>
      <b/>
      <sz val="10"/>
      <color rgb="FF881337"/>
      <name val="微軟正黑體"/>
      <family val="2"/>
      <charset val="136"/>
    </font>
    <font>
      <b/>
      <sz val="10"/>
      <color rgb="FF064E3B"/>
      <name val="微軟正黑體"/>
      <family val="2"/>
      <charset val="136"/>
    </font>
    <font>
      <b/>
      <sz val="11"/>
      <color rgb="FF1E293B"/>
      <name val="微軟正黑體"/>
      <family val="2"/>
      <charset val="136"/>
    </font>
    <font>
      <b/>
      <sz val="14"/>
      <color rgb="FF9A34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64748B"/>
      </patternFill>
    </fill>
    <fill>
      <patternFill patternType="solid">
        <fgColor rgb="FF059669"/>
      </patternFill>
    </fill>
    <fill>
      <patternFill patternType="solid">
        <fgColor rgb="FFFFF1F2"/>
      </patternFill>
    </fill>
    <fill>
      <patternFill patternType="solid">
        <fgColor rgb="FFECFDF5"/>
      </patternFill>
    </fill>
    <fill>
      <patternFill patternType="solid">
        <fgColor rgb="FFE11D48"/>
      </patternFill>
    </fill>
    <fill>
      <patternFill patternType="solid">
        <fgColor rgb="FFFFEDD5"/>
      </patternFill>
    </fill>
    <fill>
      <patternFill patternType="solid">
        <fgColor rgb="FFF8FAFC"/>
      </patternFill>
    </fill>
  </fills>
  <borders count="2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334155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334155"/>
      </top>
      <bottom style="thin">
        <color rgb="FFCBD5E1"/>
      </bottom>
      <diagonal/>
    </border>
    <border>
      <left style="thin">
        <color rgb="FFCBD5E1"/>
      </left>
      <right style="medium">
        <color rgb="FF334155"/>
      </right>
      <top style="thick">
        <color rgb="FF334155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ck">
        <color rgb="FF334155"/>
      </bottom>
      <diagonal/>
    </border>
    <border>
      <left style="thin">
        <color rgb="FFCBD5E1"/>
      </left>
      <right style="medium">
        <color rgb="FF334155"/>
      </right>
      <top style="thin">
        <color rgb="FFCBD5E1"/>
      </top>
      <bottom style="thick">
        <color rgb="FF334155"/>
      </bottom>
      <diagonal/>
    </border>
    <border>
      <left style="thick">
        <color rgb="FF334155"/>
      </left>
      <right style="thin">
        <color rgb="FFCBD5E1"/>
      </right>
      <top style="thick">
        <color rgb="FF334155"/>
      </top>
      <bottom style="thin">
        <color rgb="FFCBD5E1"/>
      </bottom>
      <diagonal/>
    </border>
    <border>
      <left style="thick">
        <color rgb="FF334155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ck">
        <color rgb="FF334155"/>
      </left>
      <right style="thin">
        <color rgb="FFCBD5E1"/>
      </right>
      <top style="thin">
        <color rgb="FFCBD5E1"/>
      </top>
      <bottom style="thick">
        <color rgb="FF334155"/>
      </bottom>
      <diagonal/>
    </border>
    <border>
      <left style="thin">
        <color rgb="FFCBD5E1"/>
      </left>
      <right style="thick">
        <color rgb="FF334155"/>
      </right>
      <top style="thick">
        <color rgb="FF334155"/>
      </top>
      <bottom style="thin">
        <color rgb="FFCBD5E1"/>
      </bottom>
      <diagonal/>
    </border>
    <border>
      <left style="thin">
        <color rgb="FFCBD5E1"/>
      </left>
      <right style="thick">
        <color rgb="FF334155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ck">
        <color rgb="FF334155"/>
      </right>
      <top style="thin">
        <color rgb="FFCBD5E1"/>
      </top>
      <bottom style="thick">
        <color rgb="FF334155"/>
      </bottom>
      <diagonal/>
    </border>
    <border>
      <left/>
      <right/>
      <top style="thick">
        <color rgb="FF334155"/>
      </top>
      <bottom/>
      <diagonal/>
    </border>
    <border>
      <left/>
      <right/>
      <top/>
      <bottom style="thick">
        <color rgb="FF334155"/>
      </bottom>
      <diagonal/>
    </border>
    <border>
      <left style="thick">
        <color rgb="FF334155"/>
      </left>
      <right/>
      <top/>
      <bottom/>
      <diagonal/>
    </border>
    <border>
      <left/>
      <right style="thick">
        <color rgb="FF334155"/>
      </right>
      <top style="thick">
        <color rgb="FF334155"/>
      </top>
      <bottom/>
      <diagonal/>
    </border>
    <border>
      <left/>
      <right style="thick">
        <color rgb="FF334155"/>
      </right>
      <top/>
      <bottom/>
      <diagonal/>
    </border>
    <border>
      <left/>
      <right/>
      <top style="thick">
        <color rgb="FF334155"/>
      </top>
      <bottom style="thick">
        <color rgb="FF334155"/>
      </bottom>
      <diagonal/>
    </border>
    <border>
      <left style="thick">
        <color rgb="FF334155"/>
      </left>
      <right style="thin">
        <color rgb="FFCBD5E1"/>
      </right>
      <top style="thick">
        <color rgb="FF334155"/>
      </top>
      <bottom style="thick">
        <color rgb="FF334155"/>
      </bottom>
      <diagonal/>
    </border>
    <border>
      <left/>
      <right style="thick">
        <color rgb="FF334155"/>
      </right>
      <top style="thick">
        <color rgb="FF334155"/>
      </top>
      <bottom style="thick">
        <color rgb="FF334155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 applyProtection="1">
      <alignment horizontal="center" vertical="center" wrapText="1"/>
      <protection locked="0"/>
    </xf>
    <xf numFmtId="1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7" borderId="1" xfId="0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3" fontId="8" fillId="8" borderId="13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1" fontId="6" fillId="3" borderId="7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7" xfId="0" applyNumberFormat="1" applyFont="1" applyFill="1" applyBorder="1" applyAlignment="1" applyProtection="1">
      <alignment horizontal="center" vertical="center" wrapText="1"/>
      <protection locked="0"/>
    </xf>
    <xf numFmtId="1" fontId="6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7" fillId="7" borderId="7" xfId="0" applyFont="1" applyFill="1" applyBorder="1" applyAlignment="1">
      <alignment horizontal="center" vertical="center" wrapText="1"/>
    </xf>
    <xf numFmtId="3" fontId="7" fillId="7" borderId="7" xfId="0" applyNumberFormat="1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3" fontId="8" fillId="8" borderId="14" xfId="0" applyNumberFormat="1" applyFont="1" applyFill="1" applyBorder="1" applyAlignment="1">
      <alignment horizontal="center" vertical="center" wrapText="1"/>
    </xf>
    <xf numFmtId="3" fontId="7" fillId="0" borderId="13" xfId="0" applyNumberFormat="1" applyFont="1" applyBorder="1" applyAlignment="1">
      <alignment horizontal="right" vertical="center" wrapText="1"/>
    </xf>
    <xf numFmtId="3" fontId="8" fillId="0" borderId="13" xfId="0" applyNumberFormat="1" applyFont="1" applyBorder="1" applyAlignment="1">
      <alignment horizontal="right" vertical="center" wrapText="1"/>
    </xf>
    <xf numFmtId="3" fontId="8" fillId="3" borderId="13" xfId="0" applyNumberFormat="1" applyFont="1" applyFill="1" applyBorder="1" applyAlignment="1" applyProtection="1">
      <alignment horizontal="right" vertical="center" wrapText="1"/>
      <protection locked="0"/>
    </xf>
    <xf numFmtId="3" fontId="7" fillId="3" borderId="13" xfId="0" applyNumberFormat="1" applyFont="1" applyFill="1" applyBorder="1" applyAlignment="1" applyProtection="1">
      <alignment horizontal="right" vertical="center" wrapText="1"/>
      <protection locked="0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3" fontId="9" fillId="4" borderId="14" xfId="0" applyNumberFormat="1" applyFont="1" applyFill="1" applyBorder="1" applyAlignment="1">
      <alignment horizontal="right" vertical="center" wrapText="1"/>
    </xf>
    <xf numFmtId="0" fontId="6" fillId="3" borderId="17" xfId="0" applyFont="1" applyFill="1" applyBorder="1" applyAlignment="1" applyProtection="1">
      <alignment horizontal="left" vertical="center" wrapText="1"/>
      <protection locked="0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6" fillId="0" borderId="17" xfId="0" applyFont="1" applyBorder="1" applyAlignment="1" applyProtection="1">
      <alignment horizontal="left" vertical="center" wrapText="1"/>
      <protection locked="0"/>
    </xf>
    <xf numFmtId="0" fontId="9" fillId="11" borderId="21" xfId="0" applyFont="1" applyFill="1" applyBorder="1" applyAlignment="1">
      <alignment horizontal="left" vertical="center" wrapText="1"/>
    </xf>
    <xf numFmtId="0" fontId="0" fillId="0" borderId="20" xfId="0" applyBorder="1"/>
    <xf numFmtId="0" fontId="0" fillId="0" borderId="22" xfId="0" applyBorder="1"/>
    <xf numFmtId="0" fontId="2" fillId="6" borderId="9" xfId="0" applyFont="1" applyFill="1" applyBorder="1" applyAlignment="1">
      <alignment horizontal="left" vertical="center" wrapText="1"/>
    </xf>
    <xf numFmtId="0" fontId="0" fillId="0" borderId="15" xfId="0" applyBorder="1"/>
    <xf numFmtId="0" fontId="0" fillId="0" borderId="18" xfId="0" applyBorder="1"/>
    <xf numFmtId="0" fontId="10" fillId="10" borderId="21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9" xfId="0" applyFont="1" applyBorder="1" applyAlignment="1" applyProtection="1">
      <alignment horizontal="left" vertical="top" wrapText="1"/>
      <protection locked="0"/>
    </xf>
    <xf numFmtId="0" fontId="0" fillId="0" borderId="5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4" xfId="0" applyBorder="1" applyProtection="1">
      <protection locked="0"/>
    </xf>
    <xf numFmtId="0" fontId="5" fillId="0" borderId="0" xfId="0" applyFont="1" applyAlignment="1">
      <alignment horizontal="left" vertical="center" wrapText="1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9" fillId="4" borderId="11" xfId="0" applyFont="1" applyFill="1" applyBorder="1" applyAlignment="1">
      <alignment horizontal="right" vertical="center" wrapText="1"/>
    </xf>
    <xf numFmtId="0" fontId="0" fillId="0" borderId="16" xfId="0" applyBorder="1"/>
    <xf numFmtId="0" fontId="2" fillId="9" borderId="9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showGridLines="0" tabSelected="1" topLeftCell="A4" workbookViewId="0">
      <selection activeCell="C14" sqref="C14"/>
    </sheetView>
  </sheetViews>
  <sheetFormatPr defaultRowHeight="15" x14ac:dyDescent="0.3"/>
  <cols>
    <col min="1" max="1" width="21.375" customWidth="1"/>
    <col min="2" max="2" width="19.375" customWidth="1"/>
    <col min="3" max="3" width="18.125" customWidth="1"/>
    <col min="4" max="5" width="13" customWidth="1"/>
    <col min="6" max="6" width="12" customWidth="1"/>
    <col min="7" max="7" width="30" customWidth="1"/>
    <col min="8" max="8" width="13" customWidth="1"/>
    <col min="9" max="9" width="30" customWidth="1"/>
    <col min="10" max="10" width="13" customWidth="1"/>
  </cols>
  <sheetData>
    <row r="1" spans="1:10" ht="34.950000000000003" customHeight="1" x14ac:dyDescent="0.3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25.05" customHeight="1" x14ac:dyDescent="0.3">
      <c r="A2" s="1" t="s">
        <v>1</v>
      </c>
      <c r="B2" s="57" t="s">
        <v>2</v>
      </c>
      <c r="C2" s="58"/>
      <c r="D2" s="58"/>
      <c r="E2" s="59"/>
      <c r="F2" s="1" t="s">
        <v>3</v>
      </c>
      <c r="G2" s="57" t="s">
        <v>4</v>
      </c>
      <c r="H2" s="58"/>
      <c r="I2" s="58"/>
      <c r="J2" s="59"/>
    </row>
    <row r="3" spans="1:10" ht="25.05" customHeight="1" x14ac:dyDescent="0.3">
      <c r="A3" s="1" t="s">
        <v>5</v>
      </c>
      <c r="B3" s="57" t="s">
        <v>6</v>
      </c>
      <c r="C3" s="58"/>
      <c r="D3" s="58"/>
      <c r="E3" s="58"/>
      <c r="F3" s="58"/>
      <c r="G3" s="58"/>
      <c r="H3" s="58"/>
      <c r="I3" s="58"/>
      <c r="J3" s="59"/>
    </row>
    <row r="4" spans="1:10" ht="25.05" customHeight="1" x14ac:dyDescent="0.3">
      <c r="A4" s="2" t="s">
        <v>7</v>
      </c>
      <c r="B4" s="3">
        <v>1141127</v>
      </c>
      <c r="C4" s="4" t="str">
        <f>IF(B4="","", TEXT(DATE(1911+LEFT(B4,3),MID(B4,4,2),RIGHT(B4,2)),"yyyy/mm/dd"))</f>
        <v>2025/11/27</v>
      </c>
      <c r="D4" s="37" t="s">
        <v>8</v>
      </c>
      <c r="E4" s="36"/>
      <c r="F4" s="36"/>
      <c r="G4" s="36"/>
      <c r="H4" s="36"/>
      <c r="I4" s="36"/>
      <c r="J4" s="36"/>
    </row>
    <row r="5" spans="1:10" ht="25.05" customHeight="1" x14ac:dyDescent="0.3">
      <c r="A5" s="2" t="s">
        <v>9</v>
      </c>
      <c r="B5" s="5" t="s">
        <v>38</v>
      </c>
      <c r="C5" s="56" t="str">
        <f>"⚖️ 權益切割：交屋日當天歸 " &amp; RIGHT(B5,2)</f>
        <v>⚖️ 權益切割：交屋日當天歸 賣方</v>
      </c>
      <c r="D5" s="36"/>
      <c r="E5" s="36"/>
    </row>
    <row r="6" spans="1:10" ht="25.05" customHeight="1" x14ac:dyDescent="0.3">
      <c r="A6" s="2" t="s">
        <v>10</v>
      </c>
      <c r="B6" s="6" t="s">
        <v>11</v>
      </c>
      <c r="C6" s="56" t="str">
        <f>IF(B4="","", "📊 分母：依交屋當月總天數 (" &amp; DAY(EOMONTH(DATE(1911+LEFT(B4,3),MID(B4,4,2),RIGHT(B4,2)),0)) &amp; "天) 計算日租金")</f>
        <v>📊 分母：依交屋當月總天數 (30天) 計算日租金</v>
      </c>
      <c r="D6" s="36"/>
      <c r="E6" s="36"/>
      <c r="F6" s="36"/>
    </row>
    <row r="7" spans="1:10" ht="40.049999999999997" customHeight="1" x14ac:dyDescent="0.3">
      <c r="A7" s="7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9" t="s">
        <v>17</v>
      </c>
      <c r="G7" s="10" t="s">
        <v>18</v>
      </c>
      <c r="H7" s="8" t="s">
        <v>19</v>
      </c>
      <c r="I7" s="10" t="s">
        <v>20</v>
      </c>
      <c r="J7" s="11" t="s">
        <v>19</v>
      </c>
    </row>
    <row r="8" spans="1:10" ht="34.950000000000003" customHeight="1" x14ac:dyDescent="0.3">
      <c r="A8" s="12" t="s">
        <v>21</v>
      </c>
      <c r="B8" s="13">
        <v>1141122</v>
      </c>
      <c r="C8" s="13">
        <v>1141221</v>
      </c>
      <c r="D8" s="14">
        <v>15000</v>
      </c>
      <c r="E8" s="14">
        <v>30000</v>
      </c>
      <c r="F8" s="15">
        <v>1141221</v>
      </c>
      <c r="G8" s="16" t="str">
        <f t="shared" ref="G8:G19" si="0">IF(AND(D8&lt;&gt;"", F8&lt;&gt;""), IF(MAX(0,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TEXT(DATE(1911+LEFT(IF(F8="", IF($B$4="", 1140101, $B$4), F8),3),MID(IF(F8="", IF($B$4="", 1140101, $B$4), F8),4,2),RIGHT(IF(F8="", IF($B$4="", 1140101, $B$4), F8),2)), "mm/dd") &amp; " (" &amp; 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TEXT(D8, "#,##0") &amp; "×(" &amp; 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>11/28~12/21 (24天)
$15,000×(24/30)</v>
      </c>
      <c r="H8" s="17">
        <f t="shared" ref="H8:H19" si="1">IF(AND(D8&lt;&gt;"", F8&lt;&gt;""), IF(MAX(0,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ROUND(D8/DAY(EOMONTH(DATE(1911+LEFT(IF($B$4="", 1140101, $B$4),3),MID(IF($B$4="", 1140101, $B$4),4,2),RIGHT(IF($B$4="", 1140101, $B$4),2)),0))*MAX(0,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>12000</v>
      </c>
      <c r="I8" s="18" t="str">
        <f t="shared" ref="I8:I19" si="2">IF(AND(D8&lt;&gt;"", F8&lt;&gt;""),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DATE(1911+LEFT(IF(F8="", IF($B$4="", 1140101, $B$4), F8),3),MID(IF(F8="", IF($B$4="", 1140101, $B$4), F8),4,2),RIGHT(IF(F8="", IF($B$4="", 1140101, $B$4), F8),2)) - 1)&gt;0, TEXT(DATE(1911+LEFT(IF(F8="", IF($B$4="", 1140101, $B$4), F8),3),MID(IF(F8="", IF($B$4="", 1140101, $B$4), F8),4,2),RIGHT(IF(F8="", IF($B$4="", 1140101, $B$4), F8),2))+1,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DATE(1911+LEFT(IF(F8="", IF($B$4="", 1140101, $B$4), F8),3),MID(IF(F8="", IF($B$4="", 1140101, $B$4), F8),4,2),RIGHT(IF(F8="", IF($B$4="", 1140101, $B$4), F8),2)) - 1) &amp; "天)" &amp; CHAR(10) &amp; "$" &amp; TEXT(D8,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DATE(1911+LEFT(IF(F8="", IF($B$4="", 1140101, $B$4), F8),3),MID(IF(F8="", IF($B$4="", 1140101, $B$4), F8),4,2),RIGHT(IF(F8="", IF($B$4="", 1140101, $B$4), F8),2)) - 1) &amp; "/" &amp; DAY(EOMONTH(DATE(1911+LEFT(IF($B$4="", 1140101, $B$4),3),MID(IF($B$4="", 1140101, $B$4),4,2),RIGHT(IF($B$4="", 1140101, $B$4),2)),0)) &amp; ")", ""), "")</f>
        <v/>
      </c>
      <c r="J8" s="19">
        <f t="shared" ref="J8:J19" si="3">IF(AND(D8&lt;&gt;"", F8&lt;&gt;""),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DATE(1911+LEFT(IF(F8="", IF($B$4="", 1140101, $B$4), F8),3),MID(IF(F8="", IF($B$4="", 1140101, $B$4), F8),4,2),RIGHT(IF(F8="", IF($B$4="", 1140101, $B$4), F8),2)) - 1)&gt;0, ROUND(D8/DAY(EOMONTH(DATE(1911+LEFT(IF($B$4="",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DATE(1911+LEFT(IF(F8="", IF($B$4="", 1140101, $B$4), F8),3),MID(IF(F8="", IF($B$4="", 1140101, $B$4), F8),4,2),RIGHT(IF(F8="", IF($B$4="", 1140101, $B$4), F8),2)) - 1), 0), 0), "")</f>
        <v>0</v>
      </c>
    </row>
    <row r="9" spans="1:10" ht="34.950000000000003" customHeight="1" x14ac:dyDescent="0.3">
      <c r="A9" s="12"/>
      <c r="B9" s="13">
        <v>1141107</v>
      </c>
      <c r="C9" s="13">
        <v>1141206</v>
      </c>
      <c r="D9" s="14">
        <v>13500</v>
      </c>
      <c r="E9" s="14">
        <v>27000</v>
      </c>
      <c r="F9" s="15">
        <v>1141206</v>
      </c>
      <c r="G9" s="16" t="str">
        <f t="shared" si="0"/>
        <v>11/28~12/06 (9天)
$13,500×(9/30)</v>
      </c>
      <c r="H9" s="17">
        <f t="shared" si="1"/>
        <v>4050</v>
      </c>
      <c r="I9" s="18" t="str">
        <f t="shared" si="2"/>
        <v/>
      </c>
      <c r="J9" s="19">
        <f t="shared" si="3"/>
        <v>0</v>
      </c>
    </row>
    <row r="10" spans="1:10" ht="34.950000000000003" customHeight="1" x14ac:dyDescent="0.3">
      <c r="A10" s="12"/>
      <c r="B10" s="13">
        <v>1141116</v>
      </c>
      <c r="C10" s="13">
        <v>1141512</v>
      </c>
      <c r="D10" s="14">
        <v>13000</v>
      </c>
      <c r="E10" s="14">
        <v>26000</v>
      </c>
      <c r="F10" s="15">
        <v>1141515</v>
      </c>
      <c r="G10" s="16" t="str">
        <f t="shared" si="0"/>
        <v>11/28~03/15 (108天)
$13,000×(108/30)</v>
      </c>
      <c r="H10" s="17">
        <f t="shared" si="1"/>
        <v>46800</v>
      </c>
      <c r="I10" s="18" t="str">
        <f t="shared" si="2"/>
        <v/>
      </c>
      <c r="J10" s="19">
        <f t="shared" si="3"/>
        <v>0</v>
      </c>
    </row>
    <row r="11" spans="1:10" ht="34.950000000000003" customHeight="1" x14ac:dyDescent="0.3">
      <c r="A11" s="12"/>
      <c r="B11" s="13">
        <v>1141030</v>
      </c>
      <c r="C11" s="13">
        <v>1141129</v>
      </c>
      <c r="D11" s="14">
        <v>9500</v>
      </c>
      <c r="E11" s="14">
        <v>19000</v>
      </c>
      <c r="F11" s="15">
        <v>1141129</v>
      </c>
      <c r="G11" s="16" t="str">
        <f t="shared" si="0"/>
        <v>11/28~11/29 (2天)
$9,500×(2/30)</v>
      </c>
      <c r="H11" s="17">
        <f t="shared" si="1"/>
        <v>633</v>
      </c>
      <c r="I11" s="18" t="str">
        <f t="shared" si="2"/>
        <v/>
      </c>
      <c r="J11" s="19">
        <f t="shared" si="3"/>
        <v>0</v>
      </c>
    </row>
    <row r="12" spans="1:10" ht="34.950000000000003" customHeight="1" x14ac:dyDescent="0.3">
      <c r="A12" s="12"/>
      <c r="B12" s="13">
        <v>1141116</v>
      </c>
      <c r="C12" s="13">
        <v>1141215</v>
      </c>
      <c r="D12" s="14">
        <v>11600</v>
      </c>
      <c r="E12" s="14">
        <v>23200</v>
      </c>
      <c r="F12" s="15">
        <v>1141215</v>
      </c>
      <c r="G12" s="16" t="str">
        <f t="shared" si="0"/>
        <v>11/28~12/15 (18天)
$11,600×(18/30)</v>
      </c>
      <c r="H12" s="17">
        <f t="shared" si="1"/>
        <v>6960</v>
      </c>
      <c r="I12" s="18" t="str">
        <f t="shared" si="2"/>
        <v/>
      </c>
      <c r="J12" s="19">
        <f t="shared" si="3"/>
        <v>0</v>
      </c>
    </row>
    <row r="13" spans="1:10" ht="34.950000000000003" customHeight="1" x14ac:dyDescent="0.3">
      <c r="A13" s="12"/>
      <c r="B13" s="13">
        <v>1141101</v>
      </c>
      <c r="C13" s="13">
        <v>1141130</v>
      </c>
      <c r="D13" s="14">
        <v>22000</v>
      </c>
      <c r="E13" s="14">
        <v>31600</v>
      </c>
      <c r="F13" s="15">
        <v>1141130</v>
      </c>
      <c r="G13" s="16" t="str">
        <f t="shared" si="0"/>
        <v>11/28~11/30 (3天)
$22,000×(3/30)</v>
      </c>
      <c r="H13" s="17">
        <f t="shared" si="1"/>
        <v>2200</v>
      </c>
      <c r="I13" s="18" t="str">
        <f t="shared" si="2"/>
        <v/>
      </c>
      <c r="J13" s="19">
        <f t="shared" si="3"/>
        <v>0</v>
      </c>
    </row>
    <row r="14" spans="1:10" ht="34.950000000000003" customHeight="1" x14ac:dyDescent="0.3">
      <c r="A14" s="12"/>
      <c r="B14" s="13"/>
      <c r="C14" s="13"/>
      <c r="D14" s="14"/>
      <c r="E14" s="14"/>
      <c r="F14" s="15"/>
      <c r="G14" s="16" t="str">
        <f t="shared" si="0"/>
        <v/>
      </c>
      <c r="H14" s="17" t="str">
        <f t="shared" si="1"/>
        <v/>
      </c>
      <c r="I14" s="18" t="str">
        <f t="shared" si="2"/>
        <v/>
      </c>
      <c r="J14" s="19" t="str">
        <f t="shared" si="3"/>
        <v/>
      </c>
    </row>
    <row r="15" spans="1:10" ht="34.950000000000003" customHeight="1" x14ac:dyDescent="0.3">
      <c r="A15" s="12"/>
      <c r="B15" s="13"/>
      <c r="C15" s="13"/>
      <c r="D15" s="14"/>
      <c r="E15" s="14"/>
      <c r="F15" s="15"/>
      <c r="G15" s="16" t="str">
        <f t="shared" si="0"/>
        <v/>
      </c>
      <c r="H15" s="17" t="str">
        <f t="shared" si="1"/>
        <v/>
      </c>
      <c r="I15" s="18" t="str">
        <f t="shared" si="2"/>
        <v/>
      </c>
      <c r="J15" s="19" t="str">
        <f t="shared" si="3"/>
        <v/>
      </c>
    </row>
    <row r="16" spans="1:10" ht="34.950000000000003" customHeight="1" x14ac:dyDescent="0.3">
      <c r="A16" s="12"/>
      <c r="B16" s="13"/>
      <c r="C16" s="13"/>
      <c r="D16" s="14"/>
      <c r="E16" s="14"/>
      <c r="F16" s="15"/>
      <c r="G16" s="16" t="str">
        <f t="shared" si="0"/>
        <v/>
      </c>
      <c r="H16" s="17" t="str">
        <f t="shared" si="1"/>
        <v/>
      </c>
      <c r="I16" s="18" t="str">
        <f t="shared" si="2"/>
        <v/>
      </c>
      <c r="J16" s="19" t="str">
        <f t="shared" si="3"/>
        <v/>
      </c>
    </row>
    <row r="17" spans="1:11" ht="34.950000000000003" customHeight="1" x14ac:dyDescent="0.3">
      <c r="A17" s="12"/>
      <c r="B17" s="13"/>
      <c r="C17" s="13"/>
      <c r="D17" s="14"/>
      <c r="E17" s="14"/>
      <c r="F17" s="15"/>
      <c r="G17" s="16" t="str">
        <f t="shared" si="0"/>
        <v/>
      </c>
      <c r="H17" s="17" t="str">
        <f t="shared" si="1"/>
        <v/>
      </c>
      <c r="I17" s="18" t="str">
        <f t="shared" si="2"/>
        <v/>
      </c>
      <c r="J17" s="19" t="str">
        <f t="shared" si="3"/>
        <v/>
      </c>
    </row>
    <row r="18" spans="1:11" ht="34.950000000000003" customHeight="1" x14ac:dyDescent="0.3">
      <c r="A18" s="12"/>
      <c r="B18" s="13"/>
      <c r="C18" s="13"/>
      <c r="D18" s="14"/>
      <c r="E18" s="14"/>
      <c r="F18" s="15"/>
      <c r="G18" s="16" t="str">
        <f t="shared" si="0"/>
        <v/>
      </c>
      <c r="H18" s="17" t="str">
        <f t="shared" si="1"/>
        <v/>
      </c>
      <c r="I18" s="18" t="str">
        <f t="shared" si="2"/>
        <v/>
      </c>
      <c r="J18" s="19" t="str">
        <f t="shared" si="3"/>
        <v/>
      </c>
    </row>
    <row r="19" spans="1:11" ht="34.950000000000003" customHeight="1" x14ac:dyDescent="0.3">
      <c r="A19" s="20"/>
      <c r="B19" s="21"/>
      <c r="C19" s="21"/>
      <c r="D19" s="22"/>
      <c r="E19" s="22"/>
      <c r="F19" s="23"/>
      <c r="G19" s="24" t="str">
        <f t="shared" si="0"/>
        <v/>
      </c>
      <c r="H19" s="25" t="str">
        <f t="shared" si="1"/>
        <v/>
      </c>
      <c r="I19" s="26" t="str">
        <f t="shared" si="2"/>
        <v/>
      </c>
      <c r="J19" s="27" t="str">
        <f t="shared" si="3"/>
        <v/>
      </c>
    </row>
    <row r="21" spans="1:11" ht="30" customHeight="1" x14ac:dyDescent="0.3">
      <c r="A21" s="62" t="s">
        <v>22</v>
      </c>
      <c r="B21" s="43"/>
      <c r="C21" s="43"/>
      <c r="D21" s="44"/>
      <c r="F21" s="42" t="s">
        <v>23</v>
      </c>
      <c r="G21" s="43"/>
      <c r="H21" s="43"/>
      <c r="I21" s="43"/>
      <c r="J21" s="44"/>
    </row>
    <row r="22" spans="1:11" ht="25.05" customHeight="1" x14ac:dyDescent="0.3">
      <c r="A22" s="46" t="s">
        <v>24</v>
      </c>
      <c r="B22" s="36"/>
      <c r="C22" s="36"/>
      <c r="D22" s="28">
        <f>SUM(E8:E19)</f>
        <v>156800</v>
      </c>
      <c r="F22" s="46" t="s">
        <v>25</v>
      </c>
      <c r="G22" s="36"/>
      <c r="H22" s="36"/>
      <c r="I22" s="36"/>
      <c r="J22" s="29">
        <f>SUM(J8:J19)</f>
        <v>0</v>
      </c>
    </row>
    <row r="23" spans="1:11" ht="25.05" customHeight="1" x14ac:dyDescent="0.3">
      <c r="A23" s="46" t="s">
        <v>26</v>
      </c>
      <c r="B23" s="36"/>
      <c r="C23" s="36"/>
      <c r="D23" s="28">
        <f>SUM(H8:H19)</f>
        <v>72643</v>
      </c>
      <c r="F23" s="38" t="s">
        <v>43</v>
      </c>
      <c r="G23" s="36"/>
      <c r="H23" s="36"/>
      <c r="I23" s="36"/>
      <c r="J23" s="30">
        <v>5000</v>
      </c>
    </row>
    <row r="24" spans="1:11" ht="25.05" customHeight="1" x14ac:dyDescent="0.3">
      <c r="A24" s="35" t="s">
        <v>27</v>
      </c>
      <c r="B24" s="36"/>
      <c r="C24" s="36"/>
      <c r="D24" s="31">
        <v>5000</v>
      </c>
      <c r="F24" s="38" t="s">
        <v>42</v>
      </c>
      <c r="G24" s="36"/>
      <c r="H24" s="36"/>
      <c r="I24" s="36"/>
      <c r="J24" s="30">
        <v>5000</v>
      </c>
    </row>
    <row r="25" spans="1:11" ht="25.05" customHeight="1" x14ac:dyDescent="0.3">
      <c r="A25" s="35" t="s">
        <v>28</v>
      </c>
      <c r="B25" s="36"/>
      <c r="C25" s="36"/>
      <c r="D25" s="31">
        <v>5000</v>
      </c>
      <c r="F25" s="38" t="s">
        <v>41</v>
      </c>
      <c r="G25" s="36"/>
      <c r="H25" s="36"/>
      <c r="I25" s="36"/>
      <c r="J25" s="30">
        <v>15000</v>
      </c>
    </row>
    <row r="26" spans="1:11" ht="25.05" customHeight="1" x14ac:dyDescent="0.3">
      <c r="A26" s="35" t="s">
        <v>29</v>
      </c>
      <c r="B26" s="36"/>
      <c r="C26" s="36"/>
      <c r="D26" s="31">
        <v>5000</v>
      </c>
      <c r="F26" s="38" t="s">
        <v>40</v>
      </c>
      <c r="G26" s="36"/>
      <c r="H26" s="36"/>
      <c r="I26" s="36"/>
      <c r="J26" s="30">
        <v>5000</v>
      </c>
    </row>
    <row r="27" spans="1:11" ht="25.05" customHeight="1" x14ac:dyDescent="0.3">
      <c r="A27" s="35" t="s">
        <v>30</v>
      </c>
      <c r="B27" s="36"/>
      <c r="C27" s="36"/>
      <c r="D27" s="31">
        <v>5000</v>
      </c>
      <c r="F27" s="38" t="s">
        <v>39</v>
      </c>
      <c r="G27" s="36"/>
      <c r="H27" s="36"/>
      <c r="I27" s="36"/>
      <c r="J27" s="30">
        <v>500</v>
      </c>
    </row>
    <row r="28" spans="1:11" ht="25.05" customHeight="1" x14ac:dyDescent="0.3">
      <c r="A28" s="32"/>
      <c r="D28" s="33"/>
      <c r="F28" s="35" t="s">
        <v>31</v>
      </c>
      <c r="G28" s="36"/>
      <c r="H28" s="36"/>
      <c r="I28" s="36"/>
      <c r="J28" s="30">
        <v>500</v>
      </c>
    </row>
    <row r="29" spans="1:11" ht="25.05" customHeight="1" x14ac:dyDescent="0.3">
      <c r="A29" s="32"/>
      <c r="D29" s="33"/>
      <c r="F29" s="35" t="s">
        <v>32</v>
      </c>
      <c r="G29" s="36"/>
      <c r="H29" s="36"/>
      <c r="I29" s="36"/>
      <c r="J29" s="30">
        <v>200</v>
      </c>
    </row>
    <row r="30" spans="1:11" ht="30" customHeight="1" x14ac:dyDescent="0.3">
      <c r="A30" s="60" t="s">
        <v>33</v>
      </c>
      <c r="B30" s="61"/>
      <c r="C30" s="61"/>
      <c r="D30" s="34">
        <f>D22+D23+D24+D25+D26+D27</f>
        <v>249443</v>
      </c>
      <c r="F30" s="60" t="s">
        <v>34</v>
      </c>
      <c r="G30" s="61"/>
      <c r="H30" s="61"/>
      <c r="I30" s="61"/>
      <c r="J30" s="34">
        <f>J22+J23+J24+J25+J26+J27+J28+J29</f>
        <v>31200</v>
      </c>
    </row>
    <row r="31" spans="1:11" ht="49.95" customHeight="1" x14ac:dyDescent="0.3">
      <c r="A31" s="45" t="str">
        <f>IF(K31&gt;0, "最終結算：賣方應找補買方 $" &amp; TEXT(K31, "#,##0"), IF(K31&lt;0, "最終結算：買方應找補賣方 $" &amp; TEXT(ABS(K31), "#,##0"), "最終結算：雙方無須找補"))</f>
        <v>最終結算：賣方應找補買方 $218,243</v>
      </c>
      <c r="B31" s="40"/>
      <c r="C31" s="40"/>
      <c r="D31" s="40"/>
      <c r="E31" s="40"/>
      <c r="F31" s="40"/>
      <c r="G31" s="40"/>
      <c r="H31" s="40"/>
      <c r="I31" s="40"/>
      <c r="J31" s="41"/>
      <c r="K31">
        <f>(D30) - (J30)</f>
        <v>218243</v>
      </c>
    </row>
    <row r="33" spans="1:10" ht="49.95" customHeight="1" x14ac:dyDescent="0.3">
      <c r="A33" s="39" t="s">
        <v>35</v>
      </c>
      <c r="B33" s="40"/>
      <c r="C33" s="41"/>
      <c r="F33" s="39" t="s">
        <v>36</v>
      </c>
      <c r="G33" s="40"/>
      <c r="H33" s="41"/>
    </row>
    <row r="35" spans="1:10" x14ac:dyDescent="0.3">
      <c r="A35" s="47" t="s">
        <v>37</v>
      </c>
      <c r="B35" s="48"/>
      <c r="C35" s="48"/>
      <c r="D35" s="48"/>
      <c r="E35" s="48"/>
      <c r="F35" s="48"/>
      <c r="G35" s="48"/>
      <c r="H35" s="48"/>
      <c r="I35" s="48"/>
      <c r="J35" s="49"/>
    </row>
    <row r="36" spans="1:10" x14ac:dyDescent="0.3">
      <c r="A36" s="50"/>
      <c r="B36" s="51"/>
      <c r="C36" s="51"/>
      <c r="D36" s="51"/>
      <c r="E36" s="51"/>
      <c r="F36" s="51"/>
      <c r="G36" s="51"/>
      <c r="H36" s="51"/>
      <c r="I36" s="51"/>
      <c r="J36" s="52"/>
    </row>
    <row r="37" spans="1:10" x14ac:dyDescent="0.3">
      <c r="A37" s="50"/>
      <c r="B37" s="51"/>
      <c r="C37" s="51"/>
      <c r="D37" s="51"/>
      <c r="E37" s="51"/>
      <c r="F37" s="51"/>
      <c r="G37" s="51"/>
      <c r="H37" s="51"/>
      <c r="I37" s="51"/>
      <c r="J37" s="52"/>
    </row>
    <row r="38" spans="1:10" x14ac:dyDescent="0.3">
      <c r="A38" s="50"/>
      <c r="B38" s="51"/>
      <c r="C38" s="51"/>
      <c r="D38" s="51"/>
      <c r="E38" s="51"/>
      <c r="F38" s="51"/>
      <c r="G38" s="51"/>
      <c r="H38" s="51"/>
      <c r="I38" s="51"/>
      <c r="J38" s="52"/>
    </row>
    <row r="39" spans="1:10" x14ac:dyDescent="0.3">
      <c r="A39" s="53"/>
      <c r="B39" s="54"/>
      <c r="C39" s="54"/>
      <c r="D39" s="54"/>
      <c r="E39" s="54"/>
      <c r="F39" s="54"/>
      <c r="G39" s="54"/>
      <c r="H39" s="54"/>
      <c r="I39" s="54"/>
      <c r="J39" s="55"/>
    </row>
  </sheetData>
  <sheetProtection sheet="1" formatCells="0" formatColumns="0"/>
  <mergeCells count="29">
    <mergeCell ref="A1:J1"/>
    <mergeCell ref="F28:I28"/>
    <mergeCell ref="F24:I24"/>
    <mergeCell ref="F30:I30"/>
    <mergeCell ref="A30:C30"/>
    <mergeCell ref="B2:E2"/>
    <mergeCell ref="A24:C24"/>
    <mergeCell ref="B3:J3"/>
    <mergeCell ref="F26:I26"/>
    <mergeCell ref="C5:E5"/>
    <mergeCell ref="A21:D21"/>
    <mergeCell ref="F23:I23"/>
    <mergeCell ref="F22:I22"/>
    <mergeCell ref="A35:J39"/>
    <mergeCell ref="A22:C22"/>
    <mergeCell ref="C6:F6"/>
    <mergeCell ref="F29:I29"/>
    <mergeCell ref="G2:J2"/>
    <mergeCell ref="F25:I25"/>
    <mergeCell ref="A25:C25"/>
    <mergeCell ref="D4:J4"/>
    <mergeCell ref="F27:I27"/>
    <mergeCell ref="F33:H33"/>
    <mergeCell ref="A27:C27"/>
    <mergeCell ref="A26:C26"/>
    <mergeCell ref="A33:C33"/>
    <mergeCell ref="F21:J21"/>
    <mergeCell ref="A31:J31"/>
    <mergeCell ref="A23:C23"/>
  </mergeCells>
  <phoneticPr fontId="11" type="noConversion"/>
  <dataValidations count="1">
    <dataValidation type="list" sqref="B5" xr:uid="{00000000-0002-0000-0000-000000000000}">
      <formula1>"歸買方,歸賣方"</formula1>
    </dataValidation>
  </dataValidations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交屋分算(費用明細)</vt:lpstr>
      <vt:lpstr>'交屋分算(費用明細)'!Print_Titles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znom</cp:lastModifiedBy>
  <dcterms:created xsi:type="dcterms:W3CDTF">2025-11-28T13:11:59Z</dcterms:created>
  <dcterms:modified xsi:type="dcterms:W3CDTF">2025-11-28T13:19:02Z</dcterms:modified>
</cp:coreProperties>
</file>