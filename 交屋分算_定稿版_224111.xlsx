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屋分算(定稿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軟正黑體"/>
      <b val="1"/>
      <color rgb="001E293B"/>
      <sz val="24"/>
    </font>
    <font>
      <name val="微軟正黑體"/>
      <b val="1"/>
      <color rgb="00FFFFFF"/>
      <sz val="10"/>
    </font>
    <font>
      <name val="微軟正黑體"/>
      <color rgb="00000000"/>
      <sz val="11"/>
    </font>
    <font>
      <name val="微軟正黑體"/>
      <color rgb="0064748B"/>
      <sz val="9"/>
    </font>
    <font>
      <name val="微軟正黑體"/>
      <color rgb="00334155"/>
      <sz val="10"/>
    </font>
    <font>
      <name val="Arial"/>
      <b val="1"/>
      <color rgb="00881337"/>
      <sz val="10"/>
    </font>
    <font>
      <name val="Arial"/>
      <b val="1"/>
      <color rgb="00064E3B"/>
      <sz val="10"/>
    </font>
    <font>
      <name val="Arial"/>
      <b val="1"/>
      <color rgb="001E293B"/>
      <sz val="20"/>
    </font>
    <font>
      <b val="1"/>
      <color rgb="001E293B"/>
      <sz val="14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64748B"/>
      </patternFill>
    </fill>
    <fill>
      <patternFill patternType="solid">
        <fgColor rgb="0094A3B8"/>
      </patternFill>
    </fill>
    <fill>
      <patternFill patternType="solid">
        <fgColor rgb="00059669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E11D48"/>
      </patternFill>
    </fill>
    <fill>
      <patternFill patternType="solid">
        <fgColor rgb="00FFEDD5"/>
      </patternFill>
    </fill>
  </fills>
  <borders count="4">
    <border>
      <left/>
      <right/>
      <top/>
      <bottom/>
      <diagonal/>
    </border>
    <border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medium">
        <color rgb="00334155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1" fontId="3" fillId="3" borderId="2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left" vertical="center" wrapText="1"/>
    </xf>
    <xf numFmtId="0" fontId="3" fillId="3" borderId="2" applyAlignment="1" applyProtection="1" pivotButton="0" quotePrefix="0" xfId="0">
      <alignment horizontal="center" vertical="center" wrapText="1"/>
      <protection locked="0" hidden="0"/>
    </xf>
    <xf numFmtId="0" fontId="5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5" fillId="3" borderId="2" applyAlignment="1" applyProtection="1" pivotButton="0" quotePrefix="0" xfId="0">
      <alignment horizontal="center" vertical="center" wrapText="1"/>
      <protection locked="0" hidden="0"/>
    </xf>
    <xf numFmtId="49" fontId="5" fillId="3" borderId="2" applyAlignment="1" applyProtection="1" pivotButton="0" quotePrefix="0" xfId="0">
      <alignment horizontal="center" vertical="center" wrapText="1"/>
      <protection locked="0" hidden="0"/>
    </xf>
    <xf numFmtId="1" fontId="5" fillId="3" borderId="2" applyAlignment="1" applyProtection="1" pivotButton="0" quotePrefix="0" xfId="0">
      <alignment horizontal="center" vertical="center" wrapText="1"/>
      <protection locked="0" hidden="0"/>
    </xf>
    <xf numFmtId="3" fontId="5" fillId="3" borderId="2" applyAlignment="1" applyProtection="1" pivotButton="0" quotePrefix="0" xfId="0">
      <alignment horizontal="center" vertical="center" wrapText="1"/>
      <protection locked="0" hidden="0"/>
    </xf>
    <xf numFmtId="1" fontId="5" fillId="3" borderId="3" applyAlignment="1" applyProtection="1" pivotButton="0" quotePrefix="0" xfId="0">
      <alignment horizontal="center" vertical="center" wrapText="1"/>
      <protection locked="0" hidden="0"/>
    </xf>
    <xf numFmtId="0" fontId="6" fillId="8" borderId="2" applyAlignment="1" pivotButton="0" quotePrefix="0" xfId="0">
      <alignment horizontal="center" vertical="center" wrapText="1"/>
    </xf>
    <xf numFmtId="3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3" fontId="7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3" fontId="7" fillId="3" borderId="2" applyAlignment="1" applyProtection="1" pivotButton="0" quotePrefix="0" xfId="0">
      <alignment horizontal="right" vertical="center"/>
      <protection locked="0" hidden="0"/>
    </xf>
    <xf numFmtId="0" fontId="9" fillId="0" borderId="0" applyAlignment="1" pivotButton="0" quotePrefix="0" xfId="0">
      <alignment horizontal="right" vertical="center"/>
    </xf>
    <xf numFmtId="3" fontId="8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4" customWidth="1" min="8" max="8"/>
    <col width="12" customWidth="1" min="9" max="9"/>
    <col width="24" customWidth="1" min="10" max="10"/>
    <col width="12" customWidth="1" min="11" max="11"/>
  </cols>
  <sheetData>
    <row r="1">
      <c r="A1" s="1" t="inlineStr">
        <is>
          <t>不動產交屋 · 租金分算結算表 (定稿版)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交屋日期 (7碼)</t>
        </is>
      </c>
      <c r="B3" s="4" t="n">
        <v>1140315</v>
      </c>
      <c r="C3" s="5">
        <f>IF(B3="","請輸入日期", "📅 " &amp; TEXT(DATE(1911+LEFT(B3,3),MID(B3,4,2),RIGHT(B3,2)),"yyyy年mm月dd日"))</f>
        <v/>
      </c>
    </row>
    <row r="4">
      <c r="A4" s="3" t="inlineStr">
        <is>
          <t>交屋日算誰的</t>
        </is>
      </c>
      <c r="B4" s="6" t="inlineStr">
        <is>
          <t>歸買方</t>
        </is>
      </c>
      <c r="C4" s="5">
        <f>"⚖️ 權益切割：交屋日當天歸 " &amp; RIGHT(B4,2)</f>
        <v/>
      </c>
    </row>
    <row r="5">
      <c r="A5" s="3" t="inlineStr">
        <is>
          <t>計算基準</t>
        </is>
      </c>
      <c r="B5" s="7" t="inlineStr">
        <is>
          <t>當月實際天數</t>
        </is>
      </c>
      <c r="C5" s="5">
        <f>IF(B3="","", "📊 分母：依交屋當月總天數 (" &amp; DAY(EOMONTH(DATE(1911+LEFT(B3,3),MID(B3,4,2),RIGHT(B3,2)),0)) &amp; "天) 計算日租金")</f>
        <v/>
      </c>
    </row>
    <row r="7">
      <c r="A7" s="8" t="inlineStr">
        <is>
          <t>房號/租客</t>
        </is>
      </c>
      <c r="B7" s="9" t="inlineStr">
        <is>
          <t>付款日
(參考用)</t>
        </is>
      </c>
      <c r="C7" s="8" t="inlineStr">
        <is>
          <t>租期起</t>
        </is>
      </c>
      <c r="D7" s="8" t="inlineStr">
        <is>
          <t>租期訖</t>
        </is>
      </c>
      <c r="E7" s="8" t="inlineStr">
        <is>
          <t>月租金</t>
        </is>
      </c>
      <c r="F7" s="8" t="inlineStr">
        <is>
          <t>押金</t>
        </is>
      </c>
      <c r="G7" s="10" t="inlineStr">
        <is>
          <t>已繳至</t>
        </is>
      </c>
      <c r="H7" s="11" t="inlineStr">
        <is>
          <t>賣方補貼買方
(計算詳情)</t>
        </is>
      </c>
      <c r="I7" s="8" t="inlineStr">
        <is>
          <t>補貼金額</t>
        </is>
      </c>
      <c r="J7" s="11" t="inlineStr">
        <is>
          <t>買方補貼賣方
(計算詳情)</t>
        </is>
      </c>
      <c r="K7" s="8" t="inlineStr">
        <is>
          <t>補貼金額</t>
        </is>
      </c>
    </row>
    <row r="8">
      <c r="A8" s="12" t="inlineStr">
        <is>
          <t>301 (測試)</t>
        </is>
      </c>
      <c r="B8" s="13" t="inlineStr">
        <is>
          <t>月底</t>
        </is>
      </c>
      <c r="C8" s="14" t="n">
        <v>1130101</v>
      </c>
      <c r="D8" s="14" t="n">
        <v>1141231</v>
      </c>
      <c r="E8" s="15" t="n">
        <v>15000</v>
      </c>
      <c r="F8" s="15" t="n">
        <v>30000</v>
      </c>
      <c r="G8" s="16" t="n">
        <v>1140228</v>
      </c>
      <c r="H8" s="17">
        <f>IF(AND(A8&lt;&gt;"", E8&lt;&gt;"", G8&lt;&gt;""), IF((MAX(0,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$B$3),2)),0)), "mm/dd") &amp; " (" &amp; 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TEXT(E8, "#,##0") &amp; "×(" &amp; 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8" s="18">
        <f>IF(AND(A8&lt;&gt;"", E8&lt;&gt;"", G8&lt;&gt;""), IF((MAX(0,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ROUND(E8/DAY(EOMONTH(DATE(1911+LEFT(IF($B$3="", 1140101, $B$3),3),MID(IF($B$3="", 1140101, $B$3),4,2),RIGHT(IF($B$3="", 1140101, $B$3),2)),0))*(MAX(0,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8" s="19">
        <f>IF(AND(A8&lt;&gt;"", E8&lt;&gt;"", G8&lt;&gt;""), IF((MAX(0,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DATE(1911+LEFT(IF(G8="", IF($B$3="", 1140101, $B$3), G8),3),MID(IF(G8="", IF($B$3="", 1140101, $B$3), G8),4,2),RIGHT(IF(G8="", IF($B$3="", 1140101, $B$3), G8),2))+1),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TEXT(E8, "#,##0") &amp; "×(" &amp; ABS((MAX(0,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8" s="20">
        <f>IF(AND(A8&lt;&gt;"", E8&lt;&gt;"", G8&lt;&gt;""), IF((MAX(0,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ROUND(E8/DAY(EOMONTH(DATE(1911+LEFT(IF($B$3="", 1140101, $B$3),3),MID(IF($B$3="", 1140101, $B$3),4,2),RIGHT(IF($B$3="", 1140101, $B$3),2)),0))*ABS((MAX(0, MIN(DATE(1911+LEFT(IF(G8="", IF($B$3="", 1140101, $B$3), G8),3),MID(IF(G8="", IF($B$3="", 1140101, $B$3), G8),4,2),RIGHT(IF(G8="", IF($B$3="", 1140101, $B$3), G8),2)),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9">
      <c r="A9" s="12" t="inlineStr"/>
      <c r="B9" s="13" t="inlineStr"/>
      <c r="C9" s="14" t="inlineStr"/>
      <c r="D9" s="14" t="inlineStr"/>
      <c r="E9" s="15" t="inlineStr"/>
      <c r="F9" s="15" t="inlineStr"/>
      <c r="G9" s="16" t="inlineStr"/>
      <c r="H9" s="17">
        <f>IF(AND(A9&lt;&gt;"", E9&lt;&gt;"", G9&lt;&gt;""), IF((MAX(0,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$B$3),2)),0)), "mm/dd") &amp; " (" &amp; 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TEXT(E9, "#,##0") &amp; "×(" &amp; 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9" s="18">
        <f>IF(AND(A9&lt;&gt;"", E9&lt;&gt;"", G9&lt;&gt;""), IF((MAX(0,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ROUND(E9/DAY(EOMONTH(DATE(1911+LEFT(IF($B$3="", 1140101, $B$3),3),MID(IF($B$3="", 1140101, $B$3),4,2),RIGHT(IF($B$3="", 1140101, $B$3),2)),0))*(MAX(0,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9" s="19">
        <f>IF(AND(A9&lt;&gt;"", E9&lt;&gt;"", G9&lt;&gt;""), IF((MAX(0,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DATE(1911+LEFT(IF(G9="", IF($B$3="", 1140101, $B$3), G9),3),MID(IF(G9="", IF($B$3="", 1140101, $B$3), G9),4,2),RIGHT(IF(G9="", IF($B$3="", 1140101, $B$3), G9),2))+1),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TEXT(E9, "#,##0") &amp; "×(" &amp; ABS((MAX(0,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9" s="20">
        <f>IF(AND(A9&lt;&gt;"", E9&lt;&gt;"", G9&lt;&gt;""), IF((MAX(0,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ROUND(E9/DAY(EOMONTH(DATE(1911+LEFT(IF($B$3="", 1140101, $B$3),3),MID(IF($B$3="", 1140101, $B$3),4,2),RIGHT(IF($B$3="", 1140101, $B$3),2)),0))*ABS((MAX(0, MIN(DATE(1911+LEFT(IF(G9="", IF($B$3="", 1140101, $B$3), G9),3),MID(IF(G9="", IF($B$3="", 1140101, $B$3), G9),4,2),RIGHT(IF(G9="", IF($B$3="", 1140101, $B$3), G9),2)),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0">
      <c r="A10" s="12" t="inlineStr"/>
      <c r="B10" s="13" t="inlineStr"/>
      <c r="C10" s="14" t="inlineStr"/>
      <c r="D10" s="14" t="inlineStr"/>
      <c r="E10" s="15" t="inlineStr"/>
      <c r="F10" s="15" t="inlineStr"/>
      <c r="G10" s="16" t="inlineStr"/>
      <c r="H10" s="17">
        <f>IF(AND(A10&lt;&gt;"", E10&lt;&gt;"", G10&lt;&gt;""), IF((MAX(0,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$B$3),2)),0)), "mm/dd") &amp; " (" &amp; 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TEXT(E10, "#,##0") &amp; "×(" &amp; 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0" s="18">
        <f>IF(AND(A10&lt;&gt;"", E10&lt;&gt;"", G10&lt;&gt;""), IF((MAX(0,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ROUND(E10/DAY(EOMONTH(DATE(1911+LEFT(IF($B$3="", 1140101, $B$3),3),MID(IF($B$3="", 1140101, $B$3),4,2),RIGHT(IF($B$3="", 1140101, $B$3),2)),0))*(MAX(0,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0" s="19">
        <f>IF(AND(A10&lt;&gt;"", E10&lt;&gt;"", G10&lt;&gt;""), IF((MAX(0,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DATE(1911+LEFT(IF(G10="", IF($B$3="", 1140101, $B$3), G10),3),MID(IF(G10="", IF($B$3="", 1140101, $B$3), G10),4,2),RIGHT(IF(G10="", IF($B$3="", 1140101, $B$3), G10),2))+1),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TEXT(E10, "#,##0") &amp; "×(" &amp; ABS((MAX(0,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0" s="20">
        <f>IF(AND(A10&lt;&gt;"", E10&lt;&gt;"", G10&lt;&gt;""), IF((MAX(0,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ROUND(E10/DAY(EOMONTH(DATE(1911+LEFT(IF($B$3="", 1140101, $B$3),3),MID(IF($B$3="", 1140101, $B$3),4,2),RIGHT(IF($B$3="", 1140101, $B$3),2)),0))*ABS((MAX(0, MIN(DATE(1911+LEFT(IF(G10="", IF($B$3="", 1140101, $B$3), G10),3),MID(IF(G10="", IF($B$3="", 1140101, $B$3), G10),4,2),RIGHT(IF(G10="", IF($B$3="", 1140101, $B$3), G10),2)),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1">
      <c r="A11" s="12" t="inlineStr"/>
      <c r="B11" s="13" t="inlineStr"/>
      <c r="C11" s="14" t="inlineStr"/>
      <c r="D11" s="14" t="inlineStr"/>
      <c r="E11" s="15" t="inlineStr"/>
      <c r="F11" s="15" t="inlineStr"/>
      <c r="G11" s="16" t="inlineStr"/>
      <c r="H11" s="17">
        <f>IF(AND(A11&lt;&gt;"", E11&lt;&gt;"", G11&lt;&gt;""), IF((MAX(0,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$B$3),2)),0)), "mm/dd") &amp; " (" &amp; 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TEXT(E11, "#,##0") &amp; "×(" &amp; 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1" s="18">
        <f>IF(AND(A11&lt;&gt;"", E11&lt;&gt;"", G11&lt;&gt;""), IF((MAX(0,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ROUND(E11/DAY(EOMONTH(DATE(1911+LEFT(IF($B$3="", 1140101, $B$3),3),MID(IF($B$3="", 1140101, $B$3),4,2),RIGHT(IF($B$3="", 1140101, $B$3),2)),0))*(MAX(0,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1" s="19">
        <f>IF(AND(A11&lt;&gt;"", E11&lt;&gt;"", G11&lt;&gt;""), IF((MAX(0,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DATE(1911+LEFT(IF(G11="", IF($B$3="", 1140101, $B$3), G11),3),MID(IF(G11="", IF($B$3="", 1140101, $B$3), G11),4,2),RIGHT(IF(G11="", IF($B$3="", 1140101, $B$3), G11),2))+1),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TEXT(E11, "#,##0") &amp; "×(" &amp; ABS((MAX(0,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1" s="20">
        <f>IF(AND(A11&lt;&gt;"", E11&lt;&gt;"", G11&lt;&gt;""), IF((MAX(0,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ROUND(E11/DAY(EOMONTH(DATE(1911+LEFT(IF($B$3="", 1140101, $B$3),3),MID(IF($B$3="", 1140101, $B$3),4,2),RIGHT(IF($B$3="", 1140101, $B$3),2)),0))*ABS((MAX(0, MIN(DATE(1911+LEFT(IF(G11="", IF($B$3="", 1140101, $B$3), G11),3),MID(IF(G11="", IF($B$3="", 1140101, $B$3), G11),4,2),RIGHT(IF(G11="", IF($B$3="", 1140101, $B$3), G11),2)),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2">
      <c r="A12" s="12" t="inlineStr"/>
      <c r="B12" s="13" t="inlineStr"/>
      <c r="C12" s="14" t="inlineStr"/>
      <c r="D12" s="14" t="inlineStr"/>
      <c r="E12" s="15" t="inlineStr"/>
      <c r="F12" s="15" t="inlineStr"/>
      <c r="G12" s="16" t="inlineStr"/>
      <c r="H12" s="17">
        <f>IF(AND(A12&lt;&gt;"", E12&lt;&gt;"", G12&lt;&gt;""), IF((MAX(0,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$B$3),2)),0)), "mm/dd") &amp; " (" &amp; 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TEXT(E12, "#,##0") &amp; "×(" &amp; 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2" s="18">
        <f>IF(AND(A12&lt;&gt;"", E12&lt;&gt;"", G12&lt;&gt;""), IF((MAX(0,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ROUND(E12/DAY(EOMONTH(DATE(1911+LEFT(IF($B$3="", 1140101, $B$3),3),MID(IF($B$3="", 1140101, $B$3),4,2),RIGHT(IF($B$3="", 1140101, $B$3),2)),0))*(MAX(0,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2" s="19">
        <f>IF(AND(A12&lt;&gt;"", E12&lt;&gt;"", G12&lt;&gt;""), IF((MAX(0,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DATE(1911+LEFT(IF(G12="", IF($B$3="", 1140101, $B$3), G12),3),MID(IF(G12="", IF($B$3="", 1140101, $B$3), G12),4,2),RIGHT(IF(G12="", IF($B$3="", 1140101, $B$3), G12),2))+1),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TEXT(E12, "#,##0") &amp; "×(" &amp; ABS((MAX(0,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2" s="20">
        <f>IF(AND(A12&lt;&gt;"", E12&lt;&gt;"", G12&lt;&gt;""), IF((MAX(0,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ROUND(E12/DAY(EOMONTH(DATE(1911+LEFT(IF($B$3="", 1140101, $B$3),3),MID(IF($B$3="", 1140101, $B$3),4,2),RIGHT(IF($B$3="", 1140101, $B$3),2)),0))*ABS((MAX(0, MIN(DATE(1911+LEFT(IF(G12="", IF($B$3="", 1140101, $B$3), G12),3),MID(IF(G12="", IF($B$3="", 1140101, $B$3), G12),4,2),RIGHT(IF(G12="", IF($B$3="", 1140101, $B$3), G12),2)),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3">
      <c r="A13" s="12" t="inlineStr"/>
      <c r="B13" s="13" t="inlineStr"/>
      <c r="C13" s="14" t="inlineStr"/>
      <c r="D13" s="14" t="inlineStr"/>
      <c r="E13" s="15" t="inlineStr"/>
      <c r="F13" s="15" t="inlineStr"/>
      <c r="G13" s="16" t="inlineStr"/>
      <c r="H13" s="17">
        <f>IF(AND(A13&lt;&gt;"", E13&lt;&gt;"", G13&lt;&gt;""), IF((MAX(0,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$B$3),2)),0)), "mm/dd") &amp; " (" &amp; 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TEXT(E13, "#,##0") &amp; "×(" &amp; 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3" s="18">
        <f>IF(AND(A13&lt;&gt;"", E13&lt;&gt;"", G13&lt;&gt;""), IF((MAX(0,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ROUND(E13/DAY(EOMONTH(DATE(1911+LEFT(IF($B$3="", 1140101, $B$3),3),MID(IF($B$3="", 1140101, $B$3),4,2),RIGHT(IF($B$3="", 1140101, $B$3),2)),0))*(MAX(0,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3" s="19">
        <f>IF(AND(A13&lt;&gt;"", E13&lt;&gt;"", G13&lt;&gt;""), IF((MAX(0,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DATE(1911+LEFT(IF(G13="", IF($B$3="", 1140101, $B$3), G13),3),MID(IF(G13="", IF($B$3="", 1140101, $B$3), G13),4,2),RIGHT(IF(G13="", IF($B$3="", 1140101, $B$3), G13),2))+1),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TEXT(E13, "#,##0") &amp; "×(" &amp; ABS((MAX(0,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3" s="20">
        <f>IF(AND(A13&lt;&gt;"", E13&lt;&gt;"", G13&lt;&gt;""), IF((MAX(0,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ROUND(E13/DAY(EOMONTH(DATE(1911+LEFT(IF($B$3="", 1140101, $B$3),3),MID(IF($B$3="", 1140101, $B$3),4,2),RIGHT(IF($B$3="", 1140101, $B$3),2)),0))*ABS((MAX(0, MIN(DATE(1911+LEFT(IF(G13="", IF($B$3="", 1140101, $B$3), G13),3),MID(IF(G13="", IF($B$3="", 1140101, $B$3), G13),4,2),RIGHT(IF(G13="", IF($B$3="", 1140101, $B$3), G13),2)),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4">
      <c r="A14" s="12" t="inlineStr"/>
      <c r="B14" s="13" t="inlineStr"/>
      <c r="C14" s="14" t="inlineStr"/>
      <c r="D14" s="14" t="inlineStr"/>
      <c r="E14" s="15" t="inlineStr"/>
      <c r="F14" s="15" t="inlineStr"/>
      <c r="G14" s="16" t="inlineStr"/>
      <c r="H14" s="17">
        <f>IF(AND(A14&lt;&gt;"", E14&lt;&gt;"", G14&lt;&gt;""), IF((MAX(0,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$B$3),2)),0)), "mm/dd") &amp; " (" &amp; 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TEXT(E14, "#,##0") &amp; "×(" &amp; 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4" s="18">
        <f>IF(AND(A14&lt;&gt;"", E14&lt;&gt;"", G14&lt;&gt;""), IF((MAX(0,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ROUND(E14/DAY(EOMONTH(DATE(1911+LEFT(IF($B$3="", 1140101, $B$3),3),MID(IF($B$3="", 1140101, $B$3),4,2),RIGHT(IF($B$3="", 1140101, $B$3),2)),0))*(MAX(0,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4" s="19">
        <f>IF(AND(A14&lt;&gt;"", E14&lt;&gt;"", G14&lt;&gt;""), IF((MAX(0,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DATE(1911+LEFT(IF(G14="", IF($B$3="", 1140101, $B$3), G14),3),MID(IF(G14="", IF($B$3="", 1140101, $B$3), G14),4,2),RIGHT(IF(G14="", IF($B$3="", 1140101, $B$3), G14),2))+1),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TEXT(E14, "#,##0") &amp; "×(" &amp; ABS((MAX(0,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4" s="20">
        <f>IF(AND(A14&lt;&gt;"", E14&lt;&gt;"", G14&lt;&gt;""), IF((MAX(0,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ROUND(E14/DAY(EOMONTH(DATE(1911+LEFT(IF($B$3="", 1140101, $B$3),3),MID(IF($B$3="", 1140101, $B$3),4,2),RIGHT(IF($B$3="", 1140101, $B$3),2)),0))*ABS((MAX(0, MIN(DATE(1911+LEFT(IF(G14="", IF($B$3="", 1140101, $B$3), G14),3),MID(IF(G14="", IF($B$3="", 1140101, $B$3), G14),4,2),RIGHT(IF(G14="", IF($B$3="", 1140101, $B$3), G14),2)),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5">
      <c r="A15" s="12" t="inlineStr"/>
      <c r="B15" s="13" t="inlineStr"/>
      <c r="C15" s="14" t="inlineStr"/>
      <c r="D15" s="14" t="inlineStr"/>
      <c r="E15" s="15" t="inlineStr"/>
      <c r="F15" s="15" t="inlineStr"/>
      <c r="G15" s="16" t="inlineStr"/>
      <c r="H15" s="17">
        <f>IF(AND(A15&lt;&gt;"", E15&lt;&gt;"", G15&lt;&gt;""), IF((MAX(0,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$B$3),2)),0)), "mm/dd") &amp; " (" &amp; 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TEXT(E15, "#,##0") &amp; "×(" &amp; 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5" s="18">
        <f>IF(AND(A15&lt;&gt;"", E15&lt;&gt;"", G15&lt;&gt;""), IF((MAX(0,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ROUND(E15/DAY(EOMONTH(DATE(1911+LEFT(IF($B$3="", 1140101, $B$3),3),MID(IF($B$3="", 1140101, $B$3),4,2),RIGHT(IF($B$3="", 1140101, $B$3),2)),0))*(MAX(0,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5" s="19">
        <f>IF(AND(A15&lt;&gt;"", E15&lt;&gt;"", G15&lt;&gt;""), IF((MAX(0,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DATE(1911+LEFT(IF(G15="", IF($B$3="", 1140101, $B$3), G15),3),MID(IF(G15="", IF($B$3="", 1140101, $B$3), G15),4,2),RIGHT(IF(G15="", IF($B$3="", 1140101, $B$3), G15),2))+1),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TEXT(E15, "#,##0") &amp; "×(" &amp; ABS((MAX(0,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5" s="20">
        <f>IF(AND(A15&lt;&gt;"", E15&lt;&gt;"", G15&lt;&gt;""), IF((MAX(0,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ROUND(E15/DAY(EOMONTH(DATE(1911+LEFT(IF($B$3="", 1140101, $B$3),3),MID(IF($B$3="", 1140101, $B$3),4,2),RIGHT(IF($B$3="", 1140101, $B$3),2)),0))*ABS((MAX(0, MIN(DATE(1911+LEFT(IF(G15="", IF($B$3="", 1140101, $B$3), G15),3),MID(IF(G15="", IF($B$3="", 1140101, $B$3), G15),4,2),RIGHT(IF(G15="", IF($B$3="", 1140101, $B$3), G15),2)),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6">
      <c r="A16" s="12" t="inlineStr"/>
      <c r="B16" s="13" t="inlineStr"/>
      <c r="C16" s="14" t="inlineStr"/>
      <c r="D16" s="14" t="inlineStr"/>
      <c r="E16" s="15" t="inlineStr"/>
      <c r="F16" s="15" t="inlineStr"/>
      <c r="G16" s="16" t="inlineStr"/>
      <c r="H16" s="17">
        <f>IF(AND(A16&lt;&gt;"", E16&lt;&gt;"", G16&lt;&gt;""), IF((MAX(0,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$B$3),2)),0)), "mm/dd") &amp; " (" &amp; 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TEXT(E16, "#,##0") &amp; "×(" &amp; 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6" s="18">
        <f>IF(AND(A16&lt;&gt;"", E16&lt;&gt;"", G16&lt;&gt;""), IF((MAX(0,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ROUND(E16/DAY(EOMONTH(DATE(1911+LEFT(IF($B$3="", 1140101, $B$3),3),MID(IF($B$3="", 1140101, $B$3),4,2),RIGHT(IF($B$3="", 1140101, $B$3),2)),0))*(MAX(0,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6" s="19">
        <f>IF(AND(A16&lt;&gt;"", E16&lt;&gt;"", G16&lt;&gt;""), IF((MAX(0,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DATE(1911+LEFT(IF(G16="", IF($B$3="", 1140101, $B$3), G16),3),MID(IF(G16="", IF($B$3="", 1140101, $B$3), G16),4,2),RIGHT(IF(G16="", IF($B$3="", 1140101, $B$3), G16),2))+1),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TEXT(E16, "#,##0") &amp; "×(" &amp; ABS((MAX(0,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6" s="20">
        <f>IF(AND(A16&lt;&gt;"", E16&lt;&gt;"", G16&lt;&gt;""), IF((MAX(0,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ROUND(E16/DAY(EOMONTH(DATE(1911+LEFT(IF($B$3="", 1140101, $B$3),3),MID(IF($B$3="", 1140101, $B$3),4,2),RIGHT(IF($B$3="", 1140101, $B$3),2)),0))*ABS((MAX(0, MIN(DATE(1911+LEFT(IF(G16="", IF($B$3="", 1140101, $B$3), G16),3),MID(IF(G16="", IF($B$3="", 1140101, $B$3), G16),4,2),RIGHT(IF(G16="", IF($B$3="", 1140101, $B$3), G16),2)),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7">
      <c r="A17" s="12" t="inlineStr"/>
      <c r="B17" s="13" t="inlineStr"/>
      <c r="C17" s="14" t="inlineStr"/>
      <c r="D17" s="14" t="inlineStr"/>
      <c r="E17" s="15" t="inlineStr"/>
      <c r="F17" s="15" t="inlineStr"/>
      <c r="G17" s="16" t="inlineStr"/>
      <c r="H17" s="17">
        <f>IF(AND(A17&lt;&gt;"", E17&lt;&gt;"", G17&lt;&gt;""), IF((MAX(0,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$B$3),2)),0)), "mm/dd") &amp; " (" &amp; 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TEXT(E17, "#,##0") &amp; "×(" &amp; 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7" s="18">
        <f>IF(AND(A17&lt;&gt;"", E17&lt;&gt;"", G17&lt;&gt;""), IF((MAX(0,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ROUND(E17/DAY(EOMONTH(DATE(1911+LEFT(IF($B$3="", 1140101, $B$3),3),MID(IF($B$3="", 1140101, $B$3),4,2),RIGHT(IF($B$3="", 1140101, $B$3),2)),0))*(MAX(0,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7" s="19">
        <f>IF(AND(A17&lt;&gt;"", E17&lt;&gt;"", G17&lt;&gt;""), IF((MAX(0,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DATE(1911+LEFT(IF(G17="", IF($B$3="", 1140101, $B$3), G17),3),MID(IF(G17="", IF($B$3="", 1140101, $B$3), G17),4,2),RIGHT(IF(G17="", IF($B$3="", 1140101, $B$3), G17),2))+1),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TEXT(E17, "#,##0") &amp; "×(" &amp; ABS((MAX(0,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7" s="20">
        <f>IF(AND(A17&lt;&gt;"", E17&lt;&gt;"", G17&lt;&gt;""), IF((MAX(0,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ROUND(E17/DAY(EOMONTH(DATE(1911+LEFT(IF($B$3="", 1140101, $B$3),3),MID(IF($B$3="", 1140101, $B$3),4,2),RIGHT(IF($B$3="", 1140101, $B$3),2)),0))*ABS((MAX(0, MIN(DATE(1911+LEFT(IF(G17="", IF($B$3="", 1140101, $B$3), G17),3),MID(IF(G17="", IF($B$3="", 1140101, $B$3), G17),4,2),RIGHT(IF(G17="", IF($B$3="", 1140101, $B$3), G17),2)),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8">
      <c r="A18" s="12" t="inlineStr"/>
      <c r="B18" s="13" t="inlineStr"/>
      <c r="C18" s="14" t="inlineStr"/>
      <c r="D18" s="14" t="inlineStr"/>
      <c r="E18" s="15" t="inlineStr"/>
      <c r="F18" s="15" t="inlineStr"/>
      <c r="G18" s="16" t="inlineStr"/>
      <c r="H18" s="17">
        <f>IF(AND(A18&lt;&gt;"", E18&lt;&gt;"", G18&lt;&gt;""), IF((MAX(0,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$B$3),2)),0)), "mm/dd") &amp; " (" &amp; 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TEXT(E18, "#,##0") &amp; "×(" &amp; 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8" s="18">
        <f>IF(AND(A18&lt;&gt;"", E18&lt;&gt;"", G18&lt;&gt;""), IF((MAX(0,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ROUND(E18/DAY(EOMONTH(DATE(1911+LEFT(IF($B$3="", 1140101, $B$3),3),MID(IF($B$3="", 1140101, $B$3),4,2),RIGHT(IF($B$3="", 1140101, $B$3),2)),0))*(MAX(0,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8" s="19">
        <f>IF(AND(A18&lt;&gt;"", E18&lt;&gt;"", G18&lt;&gt;""), IF((MAX(0,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DATE(1911+LEFT(IF(G18="", IF($B$3="", 1140101, $B$3), G18),3),MID(IF(G18="", IF($B$3="", 1140101, $B$3), G18),4,2),RIGHT(IF(G18="", IF($B$3="", 1140101, $B$3), G18),2))+1),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TEXT(E18, "#,##0") &amp; "×(" &amp; ABS((MAX(0,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8" s="20">
        <f>IF(AND(A18&lt;&gt;"", E18&lt;&gt;"", G18&lt;&gt;""), IF((MAX(0,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ROUND(E18/DAY(EOMONTH(DATE(1911+LEFT(IF($B$3="", 1140101, $B$3),3),MID(IF($B$3="", 1140101, $B$3),4,2),RIGHT(IF($B$3="", 1140101, $B$3),2)),0))*ABS((MAX(0, MIN(DATE(1911+LEFT(IF(G18="", IF($B$3="", 1140101, $B$3), G18),3),MID(IF(G18="", IF($B$3="", 1140101, $B$3), G18),4,2),RIGHT(IF(G18="", IF($B$3="", 1140101, $B$3), G18),2)),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19">
      <c r="A19" s="12" t="inlineStr"/>
      <c r="B19" s="13" t="inlineStr"/>
      <c r="C19" s="14" t="inlineStr"/>
      <c r="D19" s="14" t="inlineStr"/>
      <c r="E19" s="15" t="inlineStr"/>
      <c r="F19" s="15" t="inlineStr"/>
      <c r="G19" s="16" t="inlineStr"/>
      <c r="H19" s="17">
        <f>IF(AND(A19&lt;&gt;"", E19&lt;&gt;"", G19&lt;&gt;""), IF((MAX(0,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$B$3),2)),0)), "mm/dd") &amp; " (" &amp; 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TEXT(E19, "#,##0") &amp; "×(" &amp; 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19" s="18">
        <f>IF(AND(A19&lt;&gt;"", E19&lt;&gt;"", G19&lt;&gt;""), IF((MAX(0,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ROUND(E19/DAY(EOMONTH(DATE(1911+LEFT(IF($B$3="", 1140101, $B$3),3),MID(IF($B$3="", 1140101, $B$3),4,2),RIGHT(IF($B$3="", 1140101, $B$3),2)),0))*(MAX(0,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19" s="19">
        <f>IF(AND(A19&lt;&gt;"", E19&lt;&gt;"", G19&lt;&gt;""), IF((MAX(0,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DATE(1911+LEFT(IF(G19="", IF($B$3="", 1140101, $B$3), G19),3),MID(IF(G19="", IF($B$3="", 1140101, $B$3), G19),4,2),RIGHT(IF(G19="", IF($B$3="", 1140101, $B$3), G19),2))+1),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TEXT(E19, "#,##0") &amp; "×(" &amp; ABS((MAX(0,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19" s="20">
        <f>IF(AND(A19&lt;&gt;"", E19&lt;&gt;"", G19&lt;&gt;""), IF((MAX(0,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ROUND(E19/DAY(EOMONTH(DATE(1911+LEFT(IF($B$3="", 1140101, $B$3),3),MID(IF($B$3="", 1140101, $B$3),4,2),RIGHT(IF($B$3="", 1140101, $B$3),2)),0))*ABS((MAX(0, MIN(DATE(1911+LEFT(IF(G19="", IF($B$3="", 1140101, $B$3), G19),3),MID(IF(G19="", IF($B$3="", 1140101, $B$3), G19),4,2),RIGHT(IF(G19="", IF($B$3="", 1140101, $B$3), G19),2)),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0">
      <c r="A20" s="12" t="inlineStr"/>
      <c r="B20" s="13" t="inlineStr"/>
      <c r="C20" s="14" t="inlineStr"/>
      <c r="D20" s="14" t="inlineStr"/>
      <c r="E20" s="15" t="inlineStr"/>
      <c r="F20" s="15" t="inlineStr"/>
      <c r="G20" s="16" t="inlineStr"/>
      <c r="H20" s="17">
        <f>IF(AND(A20&lt;&gt;"", E20&lt;&gt;"", G20&lt;&gt;""), IF((MAX(0,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$B$3),2)),0)), "mm/dd") &amp; " (" &amp; 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TEXT(E20, "#,##0") &amp; "×(" &amp; 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0" s="18">
        <f>IF(AND(A20&lt;&gt;"", E20&lt;&gt;"", G20&lt;&gt;""), IF((MAX(0,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ROUND(E20/DAY(EOMONTH(DATE(1911+LEFT(IF($B$3="", 1140101, $B$3),3),MID(IF($B$3="", 1140101, $B$3),4,2),RIGHT(IF($B$3="", 1140101, $B$3),2)),0))*(MAX(0,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0" s="19">
        <f>IF(AND(A20&lt;&gt;"", E20&lt;&gt;"", G20&lt;&gt;""), IF((MAX(0,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DATE(1911+LEFT(IF(G20="", IF($B$3="", 1140101, $B$3), G20),3),MID(IF(G20="", IF($B$3="", 1140101, $B$3), G20),4,2),RIGHT(IF(G20="", IF($B$3="", 1140101, $B$3), G20),2))+1),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TEXT(E20, "#,##0") &amp; "×(" &amp; ABS((MAX(0,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0" s="20">
        <f>IF(AND(A20&lt;&gt;"", E20&lt;&gt;"", G20&lt;&gt;""), IF((MAX(0,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ROUND(E20/DAY(EOMONTH(DATE(1911+LEFT(IF($B$3="", 1140101, $B$3),3),MID(IF($B$3="", 1140101, $B$3),4,2),RIGHT(IF($B$3="", 1140101, $B$3),2)),0))*ABS((MAX(0, MIN(DATE(1911+LEFT(IF(G20="", IF($B$3="", 1140101, $B$3), G20),3),MID(IF(G20="", IF($B$3="", 1140101, $B$3), G20),4,2),RIGHT(IF(G20="", IF($B$3="", 1140101, $B$3), G20),2)),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1">
      <c r="A21" s="12" t="inlineStr"/>
      <c r="B21" s="13" t="inlineStr"/>
      <c r="C21" s="14" t="inlineStr"/>
      <c r="D21" s="14" t="inlineStr"/>
      <c r="E21" s="15" t="inlineStr"/>
      <c r="F21" s="15" t="inlineStr"/>
      <c r="G21" s="16" t="inlineStr"/>
      <c r="H21" s="17">
        <f>IF(AND(A21&lt;&gt;"", E21&lt;&gt;"", G21&lt;&gt;""), IF((MAX(0,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$B$3),2)),0)), "mm/dd") &amp; " (" &amp; 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TEXT(E21, "#,##0") &amp; "×(" &amp; 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1" s="18">
        <f>IF(AND(A21&lt;&gt;"", E21&lt;&gt;"", G21&lt;&gt;""), IF((MAX(0,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ROUND(E21/DAY(EOMONTH(DATE(1911+LEFT(IF($B$3="", 1140101, $B$3),3),MID(IF($B$3="", 1140101, $B$3),4,2),RIGHT(IF($B$3="", 1140101, $B$3),2)),0))*(MAX(0,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1" s="19">
        <f>IF(AND(A21&lt;&gt;"", E21&lt;&gt;"", G21&lt;&gt;""), IF((MAX(0,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DATE(1911+LEFT(IF(G21="", IF($B$3="", 1140101, $B$3), G21),3),MID(IF(G21="", IF($B$3="", 1140101, $B$3), G21),4,2),RIGHT(IF(G21="", IF($B$3="", 1140101, $B$3), G21),2))+1),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TEXT(E21, "#,##0") &amp; "×(" &amp; ABS((MAX(0,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1" s="20">
        <f>IF(AND(A21&lt;&gt;"", E21&lt;&gt;"", G21&lt;&gt;""), IF((MAX(0,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ROUND(E21/DAY(EOMONTH(DATE(1911+LEFT(IF($B$3="", 1140101, $B$3),3),MID(IF($B$3="", 1140101, $B$3),4,2),RIGHT(IF($B$3="", 1140101, $B$3),2)),0))*ABS((MAX(0, MIN(DATE(1911+LEFT(IF(G21="", IF($B$3="", 1140101, $B$3), G21),3),MID(IF(G21="", IF($B$3="", 1140101, $B$3), G21),4,2),RIGHT(IF(G21="", IF($B$3="", 1140101, $B$3), G21),2)),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2">
      <c r="A22" s="12" t="inlineStr"/>
      <c r="B22" s="13" t="inlineStr"/>
      <c r="C22" s="14" t="inlineStr"/>
      <c r="D22" s="14" t="inlineStr"/>
      <c r="E22" s="15" t="inlineStr"/>
      <c r="F22" s="15" t="inlineStr"/>
      <c r="G22" s="16" t="inlineStr"/>
      <c r="H22" s="17">
        <f>IF(AND(A22&lt;&gt;"", E22&lt;&gt;"", G22&lt;&gt;""), IF((MAX(0,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$B$3),2)),0)), "mm/dd") &amp; " (" &amp; 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TEXT(E22, "#,##0") &amp; "×(" &amp; 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2" s="18">
        <f>IF(AND(A22&lt;&gt;"", E22&lt;&gt;"", G22&lt;&gt;""), IF((MAX(0,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ROUND(E22/DAY(EOMONTH(DATE(1911+LEFT(IF($B$3="", 1140101, $B$3),3),MID(IF($B$3="", 1140101, $B$3),4,2),RIGHT(IF($B$3="", 1140101, $B$3),2)),0))*(MAX(0,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2" s="19">
        <f>IF(AND(A22&lt;&gt;"", E22&lt;&gt;"", G22&lt;&gt;""), IF((MAX(0,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DATE(1911+LEFT(IF(G22="", IF($B$3="", 1140101, $B$3), G22),3),MID(IF(G22="", IF($B$3="", 1140101, $B$3), G22),4,2),RIGHT(IF(G22="", IF($B$3="", 1140101, $B$3), G22),2))+1),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TEXT(E22, "#,##0") &amp; "×(" &amp; ABS((MAX(0,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2" s="20">
        <f>IF(AND(A22&lt;&gt;"", E22&lt;&gt;"", G22&lt;&gt;""), IF((MAX(0,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ROUND(E22/DAY(EOMONTH(DATE(1911+LEFT(IF($B$3="", 1140101, $B$3),3),MID(IF($B$3="", 1140101, $B$3),4,2),RIGHT(IF($B$3="", 1140101, $B$3),2)),0))*ABS((MAX(0, MIN(DATE(1911+LEFT(IF(G22="", IF($B$3="", 1140101, $B$3), G22),3),MID(IF(G22="", IF($B$3="", 1140101, $B$3), G22),4,2),RIGHT(IF(G22="", IF($B$3="", 1140101, $B$3), G22),2)),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3">
      <c r="A23" s="12" t="inlineStr"/>
      <c r="B23" s="13" t="inlineStr"/>
      <c r="C23" s="14" t="inlineStr"/>
      <c r="D23" s="14" t="inlineStr"/>
      <c r="E23" s="15" t="inlineStr"/>
      <c r="F23" s="15" t="inlineStr"/>
      <c r="G23" s="16" t="inlineStr"/>
      <c r="H23" s="17">
        <f>IF(AND(A23&lt;&gt;"", E23&lt;&gt;"", G23&lt;&gt;""), IF((MAX(0,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$B$3),2)),0)), "mm/dd") &amp; " (" &amp; 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TEXT(E23, "#,##0") &amp; "×(" &amp; 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3" s="18">
        <f>IF(AND(A23&lt;&gt;"", E23&lt;&gt;"", G23&lt;&gt;""), IF((MAX(0,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ROUND(E23/DAY(EOMONTH(DATE(1911+LEFT(IF($B$3="", 1140101, $B$3),3),MID(IF($B$3="", 1140101, $B$3),4,2),RIGHT(IF($B$3="", 1140101, $B$3),2)),0))*(MAX(0,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3" s="19">
        <f>IF(AND(A23&lt;&gt;"", E23&lt;&gt;"", G23&lt;&gt;""), IF((MAX(0,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DATE(1911+LEFT(IF(G23="", IF($B$3="", 1140101, $B$3), G23),3),MID(IF(G23="", IF($B$3="", 1140101, $B$3), G23),4,2),RIGHT(IF(G23="", IF($B$3="", 1140101, $B$3), G23),2))+1),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TEXT(E23, "#,##0") &amp; "×(" &amp; ABS((MAX(0,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3" s="20">
        <f>IF(AND(A23&lt;&gt;"", E23&lt;&gt;"", G23&lt;&gt;""), IF((MAX(0,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ROUND(E23/DAY(EOMONTH(DATE(1911+LEFT(IF($B$3="", 1140101, $B$3),3),MID(IF($B$3="", 1140101, $B$3),4,2),RIGHT(IF($B$3="", 1140101, $B$3),2)),0))*ABS((MAX(0, MIN(DATE(1911+LEFT(IF(G23="", IF($B$3="", 1140101, $B$3), G23),3),MID(IF(G23="", IF($B$3="", 1140101, $B$3), G23),4,2),RIGHT(IF(G23="", IF($B$3="", 1140101, $B$3), G23),2)),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4">
      <c r="A24" s="12" t="inlineStr"/>
      <c r="B24" s="13" t="inlineStr"/>
      <c r="C24" s="14" t="inlineStr"/>
      <c r="D24" s="14" t="inlineStr"/>
      <c r="E24" s="15" t="inlineStr"/>
      <c r="F24" s="15" t="inlineStr"/>
      <c r="G24" s="16" t="inlineStr"/>
      <c r="H24" s="17">
        <f>IF(AND(A24&lt;&gt;"", E24&lt;&gt;"", G24&lt;&gt;""), IF((MAX(0,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$B$3),2)),0)), "mm/dd") &amp; " (" &amp; 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TEXT(E24, "#,##0") &amp; "×(" &amp; 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4" s="18">
        <f>IF(AND(A24&lt;&gt;"", E24&lt;&gt;"", G24&lt;&gt;""), IF((MAX(0,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ROUND(E24/DAY(EOMONTH(DATE(1911+LEFT(IF($B$3="", 1140101, $B$3),3),MID(IF($B$3="", 1140101, $B$3),4,2),RIGHT(IF($B$3="", 1140101, $B$3),2)),0))*(MAX(0,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4" s="19">
        <f>IF(AND(A24&lt;&gt;"", E24&lt;&gt;"", G24&lt;&gt;""), IF((MAX(0,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DATE(1911+LEFT(IF(G24="", IF($B$3="", 1140101, $B$3), G24),3),MID(IF(G24="", IF($B$3="", 1140101, $B$3), G24),4,2),RIGHT(IF(G24="", IF($B$3="", 1140101, $B$3), G24),2))+1),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TEXT(E24, "#,##0") &amp; "×(" &amp; ABS((MAX(0,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4" s="20">
        <f>IF(AND(A24&lt;&gt;"", E24&lt;&gt;"", G24&lt;&gt;""), IF((MAX(0,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ROUND(E24/DAY(EOMONTH(DATE(1911+LEFT(IF($B$3="", 1140101, $B$3),3),MID(IF($B$3="", 1140101, $B$3),4,2),RIGHT(IF($B$3="", 1140101, $B$3),2)),0))*ABS((MAX(0, MIN(DATE(1911+LEFT(IF(G24="", IF($B$3="", 1140101, $B$3), G24),3),MID(IF(G24="", IF($B$3="", 1140101, $B$3), G24),4,2),RIGHT(IF(G24="", IF($B$3="", 1140101, $B$3), G24),2)),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5">
      <c r="A25" s="12" t="inlineStr"/>
      <c r="B25" s="13" t="inlineStr"/>
      <c r="C25" s="14" t="inlineStr"/>
      <c r="D25" s="14" t="inlineStr"/>
      <c r="E25" s="15" t="inlineStr"/>
      <c r="F25" s="15" t="inlineStr"/>
      <c r="G25" s="16" t="inlineStr"/>
      <c r="H25" s="17">
        <f>IF(AND(A25&lt;&gt;"", E25&lt;&gt;"", G25&lt;&gt;""), IF((MAX(0,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$B$3),2)),0)), "mm/dd") &amp; " (" &amp; 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TEXT(E25, "#,##0") &amp; "×(" &amp; 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5" s="18">
        <f>IF(AND(A25&lt;&gt;"", E25&lt;&gt;"", G25&lt;&gt;""), IF((MAX(0,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ROUND(E25/DAY(EOMONTH(DATE(1911+LEFT(IF($B$3="", 1140101, $B$3),3),MID(IF($B$3="", 1140101, $B$3),4,2),RIGHT(IF($B$3="", 1140101, $B$3),2)),0))*(MAX(0,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5" s="19">
        <f>IF(AND(A25&lt;&gt;"", E25&lt;&gt;"", G25&lt;&gt;""), IF((MAX(0,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DATE(1911+LEFT(IF(G25="", IF($B$3="", 1140101, $B$3), G25),3),MID(IF(G25="", IF($B$3="", 1140101, $B$3), G25),4,2),RIGHT(IF(G25="", IF($B$3="", 1140101, $B$3), G25),2))+1),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TEXT(E25, "#,##0") &amp; "×(" &amp; ABS((MAX(0,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5" s="20">
        <f>IF(AND(A25&lt;&gt;"", E25&lt;&gt;"", G25&lt;&gt;""), IF((MAX(0,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ROUND(E25/DAY(EOMONTH(DATE(1911+LEFT(IF($B$3="", 1140101, $B$3),3),MID(IF($B$3="", 1140101, $B$3),4,2),RIGHT(IF($B$3="", 1140101, $B$3),2)),0))*ABS((MAX(0, MIN(DATE(1911+LEFT(IF(G25="", IF($B$3="", 1140101, $B$3), G25),3),MID(IF(G25="", IF($B$3="", 1140101, $B$3), G25),4,2),RIGHT(IF(G25="", IF($B$3="", 1140101, $B$3), G25),2)),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6">
      <c r="A26" s="12" t="inlineStr"/>
      <c r="B26" s="13" t="inlineStr"/>
      <c r="C26" s="14" t="inlineStr"/>
      <c r="D26" s="14" t="inlineStr"/>
      <c r="E26" s="15" t="inlineStr"/>
      <c r="F26" s="15" t="inlineStr"/>
      <c r="G26" s="16" t="inlineStr"/>
      <c r="H26" s="17">
        <f>IF(AND(A26&lt;&gt;"", E26&lt;&gt;"", G26&lt;&gt;""), IF((MAX(0,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$B$3),2)),0)), "mm/dd") &amp; " (" &amp; 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TEXT(E26, "#,##0") &amp; "×(" &amp; 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6" s="18">
        <f>IF(AND(A26&lt;&gt;"", E26&lt;&gt;"", G26&lt;&gt;""), IF((MAX(0,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ROUND(E26/DAY(EOMONTH(DATE(1911+LEFT(IF($B$3="", 1140101, $B$3),3),MID(IF($B$3="", 1140101, $B$3),4,2),RIGHT(IF($B$3="", 1140101, $B$3),2)),0))*(MAX(0,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6" s="19">
        <f>IF(AND(A26&lt;&gt;"", E26&lt;&gt;"", G26&lt;&gt;""), IF((MAX(0,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DATE(1911+LEFT(IF(G26="", IF($B$3="", 1140101, $B$3), G26),3),MID(IF(G26="", IF($B$3="", 1140101, $B$3), G26),4,2),RIGHT(IF(G26="", IF($B$3="", 1140101, $B$3), G26),2))+1),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TEXT(E26, "#,##0") &amp; "×(" &amp; ABS((MAX(0,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6" s="20">
        <f>IF(AND(A26&lt;&gt;"", E26&lt;&gt;"", G26&lt;&gt;""), IF((MAX(0,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ROUND(E26/DAY(EOMONTH(DATE(1911+LEFT(IF($B$3="", 1140101, $B$3),3),MID(IF($B$3="", 1140101, $B$3),4,2),RIGHT(IF($B$3="", 1140101, $B$3),2)),0))*ABS((MAX(0, MIN(DATE(1911+LEFT(IF(G26="", IF($B$3="", 1140101, $B$3), G26),3),MID(IF(G26="", IF($B$3="", 1140101, $B$3), G26),4,2),RIGHT(IF(G26="", IF($B$3="", 1140101, $B$3), G26),2)),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7">
      <c r="A27" s="12" t="inlineStr"/>
      <c r="B27" s="13" t="inlineStr"/>
      <c r="C27" s="14" t="inlineStr"/>
      <c r="D27" s="14" t="inlineStr"/>
      <c r="E27" s="15" t="inlineStr"/>
      <c r="F27" s="15" t="inlineStr"/>
      <c r="G27" s="16" t="inlineStr"/>
      <c r="H27" s="17">
        <f>IF(AND(A27&lt;&gt;"", E27&lt;&gt;"", G27&lt;&gt;""), IF((MAX(0,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TEXT(IF($B$4="歸買方", DATE(1911+LEFT(IF($B$3="", 1140101, $B$3),3),MID(IF($B$3="", 1140101, $B$3),4,2),RIGHT(IF($B$3="", 1140101, $B$3),2)), DATE(1911+LEFT(IF($B$3="", 1140101, $B$3),3),MID(IF($B$3="", 1140101, $B$3),4,2),RIGHT(IF($B$3="", 1140101, $B$3),2))+1), "mm/dd") &amp; "~" &amp; TEXT(MIN(DATE(1911+LEFT(IF(G27="",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$B$3),2)),0)), "mm/dd") &amp; " (" &amp; 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"天)" &amp; CHAR(10) &amp; "$" &amp; TEXT(E27, "#,##0") &amp; "×(" &amp; 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 &amp; "/" &amp; DAY(EOMONTH(DATE(1911+LEFT(IF($B$3="", 1140101, $B$3),3),MID(IF($B$3="", 1140101, $B$3),4,2),RIGHT(IF($B$3="", 1140101, $B$3),2)),0)) &amp; ")", ""), "")</f>
        <v/>
      </c>
      <c r="I27" s="18">
        <f>IF(AND(A27&lt;&gt;"", E27&lt;&gt;"", G27&lt;&gt;""), IF((MAX(0,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$B$3),2))),1)))&gt;0, ROUND(E27/DAY(EOMONTH(DATE(1911+LEFT(IF($B$3="", 1140101, $B$3),3),MID(IF($B$3="", 1140101, $B$3),4,2),RIGHT(IF($B$3="", 1140101, $B$3),2)),0))*(MAX(0,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$B$3),2))),1))), 0), 0), "")</f>
        <v/>
      </c>
      <c r="J27" s="19">
        <f>IF(AND(A27&lt;&gt;"", E27&lt;&gt;"", G27&lt;&gt;""), IF((MAX(0,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TEXT(MAX(DATE(YEAR(DATE(1911+LEFT(IF($B$3="", 1140101, $B$3),3),MID(IF($B$3="", 1140101, $B$3),4,2),RIGHT(IF($B$3="", 1140101, $B$3),2))),MONTH(DATE(1911+LEFT(IF($B$3="", 1140101, $B$3),3),MID(IF($B$3="", 1140101, $B$3),4,2),RIGHT(IF($B$3="", 1140101, $B$3),2))),1), DATE(1911+LEFT(IF(G27="", IF($B$3="", 1140101, $B$3), G27),3),MID(IF(G27="", IF($B$3="", 1140101, $B$3), G27),4,2),RIGHT(IF(G27="", IF($B$3="", 1140101, $B$3), G27),2))+1), "mm/dd") &amp; "~" &amp; TEXT(IF($B$4="歸買方", DATE(1911+LEFT(IF($B$3="", 1140101, $B$3),3),MID(IF($B$3="", 1140101, $B$3),4,2),RIGHT(IF($B$3="", 1140101, $B$3),2)), DATE(1911+LEFT(IF($B$3="", 1140101, $B$3),3),MID(IF($B$3="", 1140101, $B$3),4,2),RIGHT(IF($B$3="", 1140101, $B$3),2))+1)-1, "mm/dd") &amp; " (" &amp; ABS((MAX(0,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"天)" &amp; CHAR(10) &amp; "$" &amp; TEXT(E27, "#,##0") &amp; "×(" &amp; ABS((MAX(0,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 &amp; "/" &amp; DAY(EOMONTH(DATE(1911+LEFT(IF($B$3="", 1140101, $B$3),3),MID(IF($B$3="", 1140101, $B$3),4,2),RIGHT(IF($B$3="", 1140101, $B$3),2)),0)) &amp; ")", ""), "")</f>
        <v/>
      </c>
      <c r="K27" s="20">
        <f>IF(AND(A27&lt;&gt;"", E27&lt;&gt;"", G27&lt;&gt;""), IF((MAX(0,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$B$3),2))),1)))&lt;0, ROUND(E27/DAY(EOMONTH(DATE(1911+LEFT(IF($B$3="", 1140101, $B$3),3),MID(IF($B$3="", 1140101, $B$3),4,2),RIGHT(IF($B$3="", 1140101, $B$3),2)),0))*ABS((MAX(0, MIN(DATE(1911+LEFT(IF(G27="", IF($B$3="", 1140101, $B$3), G27),3),MID(IF(G27="", IF($B$3="", 1140101, $B$3), G27),4,2),RIGHT(IF(G27="", IF($B$3="", 1140101, $B$3), G27),2)), EOMONTH(DATE(1911+LEFT(IF($B$3="", 1140101, $B$3),3),MID(IF($B$3="", 1140101, $B$3),4,2),RIGHT(IF($B$3="", 1140101, $B$3),2)),0)) - DATE(YEAR(DATE(1911+LEFT(IF($B$3="", 1140101, $B$3),3),MID(IF($B$3="", 1140101, $B$3),4,2),RIGHT(IF($B$3="", 1140101, $B$3),2))),MONTH(DATE(1911+LEFT(IF($B$3="", 1140101, $B$3),3),MID(IF($B$3="", 1140101, $B$3),4,2),RIGHT(IF($B$3="", 1140101, $B$3),2))),1) + 1) - MAX(0, IF($B$4="歸買方", DATE(1911+LEFT(IF($B$3="", 1140101, $B$3),3),MID(IF($B$3="", 1140101, $B$3),4,2),RIGHT(IF($B$3="", 1140101, $B$3),2)), DATE(1911+LEFT(IF($B$3="", 1140101, $B$3),3),MID(IF($B$3="", 1140101, $B$3),4,2),RIGHT(IF($B$3="", 1140101, $B$3),2))+1) - DATE(YEAR(DATE(1911+LEFT(IF($B$3="", 1140101, $B$3),3),MID(IF($B$3="", 1140101, $B$3),4,2),RIGHT(IF($B$3="", 1140101, $B$3),2))),MONTH(DATE(1911+LEFT(IF($B$3="", 1140101, $B$3),3),MID(IF($B$3="", 1140101, $B$3),4,2),RIGHT(IF($B$3="", 1140101, $B$3),2))),1)))), 0), 0), "")</f>
        <v/>
      </c>
    </row>
    <row r="29">
      <c r="A29" s="21" t="inlineStr">
        <is>
          <t>賣方應付項目 (Debits)</t>
        </is>
      </c>
      <c r="G29" s="22" t="inlineStr">
        <is>
          <t>買方應付項目 (Credits)</t>
        </is>
      </c>
    </row>
    <row r="30">
      <c r="A30" s="23" t="inlineStr">
        <is>
          <t>1. 押金移轉</t>
        </is>
      </c>
      <c r="E30" s="24">
        <f>SUM(F8:F27)</f>
        <v/>
      </c>
      <c r="G30" s="23" t="inlineStr">
        <is>
          <t>1. 買方補貼賣方 (短收租金)</t>
        </is>
      </c>
      <c r="K30" s="25">
        <f>SUM(K8:K27)</f>
        <v/>
      </c>
    </row>
    <row r="31">
      <c r="A31" s="23" t="inlineStr">
        <is>
          <t>2. 賣方補貼買方 (溢收租金)</t>
        </is>
      </c>
      <c r="E31" s="24">
        <f>SUM(I8:I27)</f>
        <v/>
      </c>
      <c r="G31" s="23" t="inlineStr">
        <is>
          <t>2. 其他代墊費用 (管理費/稅)</t>
        </is>
      </c>
      <c r="K31" s="26" t="n">
        <v>0</v>
      </c>
    </row>
    <row r="33">
      <c r="A33" s="27">
        <f>IF(E33&gt;=0, "最終結算：賣方 應找補 買方", "最終結算：買方 應找補 賣方")</f>
        <v/>
      </c>
      <c r="E33" s="28">
        <f>(E30+E31) - (K30+K31)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8">
    <mergeCell ref="A29:E29"/>
    <mergeCell ref="G29:K29"/>
    <mergeCell ref="C4:E4"/>
    <mergeCell ref="C3:E3"/>
    <mergeCell ref="A33:D33"/>
    <mergeCell ref="C5:F5"/>
    <mergeCell ref="A1:K1"/>
    <mergeCell ref="E33:K33"/>
  </mergeCells>
  <dataValidations count="2">
    <dataValidation sqref="B4" showDropDown="0" showInputMessage="0" showErrorMessage="0" allowBlank="0" type="list">
      <formula1>"歸買方,歸賣方"</formula1>
    </dataValidation>
    <dataValidation sqref="B8:B27" showDropDown="0" showInputMessage="0" showErrorMessage="0" allowBlank="1" type="list">
      <formula1>"1,2,3,4,5,6,7,8,9,10,11,12,13,14,15,16,17,18,19,20,21,22,23,24,25,26,27,28,29,30,31,月底"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2025-11-25T14:41:11Z</dcterms:created>
  <dcterms:modified xmlns:dcterms="http://purl.org/dc/terms/" xmlns:xsi="http://www.w3.org/2001/XMLSchema-instance" xsi:type="dcterms:W3CDTF">2025-11-25T14:41:11Z</dcterms:modified>
</cp:coreProperties>
</file>