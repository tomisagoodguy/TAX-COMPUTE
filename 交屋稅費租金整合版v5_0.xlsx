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屋租金分算表" sheetId="1" state="visible" r:id="rId1"/>
    <sheet xmlns:r="http://schemas.openxmlformats.org/officeDocument/2006/relationships" name="專業稅費分算計算機" sheetId="2" state="visible" r:id="rId2"/>
    <sheet xmlns:r="http://schemas.openxmlformats.org/officeDocument/2006/relationships" name="稅率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軟正黑體"/>
      <b val="1"/>
      <color rgb="001E293B"/>
      <sz val="18"/>
    </font>
    <font>
      <name val="微軟正黑體"/>
      <b val="1"/>
      <color rgb="00FFFFFF"/>
      <sz val="11"/>
    </font>
    <font>
      <name val="微軟正黑體"/>
      <b val="1"/>
      <color rgb="000F172A"/>
      <sz val="11"/>
    </font>
    <font>
      <name val="微軟正黑體"/>
      <b val="1"/>
      <color rgb="00E11D48"/>
      <sz val="10"/>
    </font>
    <font>
      <name val="微軟正黑體"/>
      <color rgb="0064748B"/>
      <sz val="9"/>
    </font>
    <font>
      <name val="微軟正黑體"/>
      <color rgb="00334155"/>
      <sz val="11"/>
    </font>
    <font>
      <name val="微軟正黑體"/>
      <b val="1"/>
      <color rgb="00881337"/>
      <sz val="10"/>
    </font>
    <font>
      <name val="微軟正黑體"/>
      <b val="1"/>
      <color rgb="00064E3B"/>
      <sz val="10"/>
    </font>
    <font>
      <name val="微軟正黑體"/>
      <b val="1"/>
      <color rgb="001E293B"/>
      <sz val="11"/>
    </font>
    <font>
      <name val="微軟正黑體"/>
      <b val="1"/>
      <color rgb="009A3412"/>
      <sz val="14"/>
    </font>
    <font>
      <name val="微軟正黑體"/>
      <b val="1"/>
      <color rgb="00000000"/>
      <sz val="12"/>
    </font>
    <font>
      <name val="微軟正黑體"/>
      <b val="1"/>
      <sz val="18"/>
    </font>
    <font>
      <name val="微軟正黑體"/>
      <b val="1"/>
      <sz val="12"/>
    </font>
    <font>
      <name val="微軟正黑體"/>
      <b val="1"/>
      <color rgb="00C00000"/>
      <sz val="12"/>
    </font>
    <font>
      <name val="微軟正黑體"/>
      <sz val="12"/>
    </font>
    <font>
      <name val="微軟正黑體"/>
      <b val="1"/>
      <sz val="14"/>
    </font>
    <font>
      <name val="微軟正黑體"/>
      <i val="1"/>
      <sz val="11"/>
    </font>
    <font>
      <name val="微軟正黑體"/>
      <b val="1"/>
      <color rgb="000000FF"/>
      <sz val="12"/>
    </font>
    <font>
      <name val="微軟正黑體"/>
      <b val="1"/>
      <color rgb="00C00000"/>
      <sz val="16"/>
    </font>
    <font>
      <name val="微軟正黑體"/>
      <color rgb="00808080"/>
      <sz val="10"/>
    </font>
  </fonts>
  <fills count="1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64748B"/>
      </patternFill>
    </fill>
    <fill>
      <patternFill patternType="solid">
        <fgColor rgb="00059669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E11D48"/>
      </patternFill>
    </fill>
    <fill>
      <patternFill patternType="solid">
        <fgColor rgb="00FFEDD5"/>
      </patternFill>
    </fill>
    <fill>
      <patternFill patternType="solid">
        <fgColor rgb="00D7E9D1"/>
        <bgColor rgb="00D7E9D1"/>
      </patternFill>
    </fill>
    <fill>
      <patternFill patternType="solid">
        <fgColor rgb="00FCE4D6"/>
        <bgColor rgb="00FCE4D6"/>
      </patternFill>
    </fill>
    <fill>
      <patternFill patternType="solid">
        <fgColor rgb="00E7E6E6"/>
        <bgColor rgb="00E7E6E6"/>
      </patternFill>
    </fill>
    <fill>
      <patternFill patternType="solid">
        <fgColor rgb="00FFFFE0"/>
        <bgColor rgb="00FFFFE0"/>
      </patternFill>
    </fill>
    <fill>
      <patternFill patternType="solid">
        <fgColor rgb="00EAF1FF"/>
        <bgColor rgb="00EAF1FF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FF2E6"/>
        <bgColor rgb="00FFF2E6"/>
      </patternFill>
    </fill>
  </fills>
  <borders count="3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medium">
        <color rgb="00334155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medium">
        <color rgb="00334155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medium">
        <color rgb="00334155"/>
      </right>
      <top style="thin">
        <color rgb="00CBD5E1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ck">
        <color rgb="00334155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n">
        <color rgb="00CBD5E1"/>
      </bottom>
    </border>
    <border>
      <left style="thick">
        <color rgb="00334155"/>
      </left>
      <right style="thin">
        <color rgb="00CBD5E1"/>
      </right>
      <top style="thin">
        <color rgb="00CBD5E1"/>
      </top>
      <bottom style="thick">
        <color rgb="00334155"/>
      </bottom>
    </border>
    <border>
      <left style="thin">
        <color rgb="00CBD5E1"/>
      </left>
      <right style="thick">
        <color rgb="00334155"/>
      </right>
      <top style="thin">
        <color rgb="00CBD5E1"/>
      </top>
      <bottom style="thick">
        <color rgb="00334155"/>
      </bottom>
    </border>
    <border>
      <left/>
      <right/>
      <top style="thick">
        <color rgb="00334155"/>
      </top>
      <bottom/>
    </border>
    <border>
      <left/>
      <right/>
      <top/>
      <bottom style="thick">
        <color rgb="00334155"/>
      </bottom>
    </border>
    <border>
      <left/>
      <right style="thick">
        <color rgb="00334155"/>
      </right>
      <top style="thick">
        <color rgb="00334155"/>
      </top>
      <bottom/>
    </border>
    <border>
      <left style="thick">
        <color rgb="00334155"/>
      </left>
      <right/>
      <top/>
      <bottom/>
    </border>
    <border>
      <left style="thin">
        <color rgb="00CBD5E1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/>
      <top style="thick">
        <color rgb="00334155"/>
      </top>
      <bottom style="thick">
        <color rgb="00334155"/>
      </bottom>
    </border>
    <border>
      <left style="thick">
        <color rgb="00334155"/>
      </left>
      <right style="thin">
        <color rgb="00CBD5E1"/>
      </right>
      <top style="thick">
        <color rgb="00334155"/>
      </top>
      <bottom style="thick">
        <color rgb="00334155"/>
      </bottom>
    </border>
    <border>
      <left/>
      <right style="thick">
        <color rgb="00334155"/>
      </right>
      <top style="thick">
        <color rgb="00334155"/>
      </top>
      <bottom style="thick">
        <color rgb="00334155"/>
      </bottom>
    </border>
    <border>
      <left/>
      <right style="thick">
        <color rgb="00334155"/>
      </right>
      <top/>
      <bottom/>
    </border>
    <border>
      <left style="thick">
        <color rgb="00334155"/>
      </left>
      <right/>
      <top/>
      <bottom style="thick">
        <color rgb="00334155"/>
      </bottom>
    </border>
    <border>
      <left/>
      <right style="thick">
        <color rgb="00334155"/>
      </right>
      <top/>
      <bottom style="thick">
        <color rgb="00334155"/>
      </bottom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2" borderId="1" applyAlignment="1" pivotButton="0" quotePrefix="0" xfId="0">
      <alignment horizontal="center" vertical="center" wrapText="1"/>
    </xf>
    <xf numFmtId="1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1" fontId="6" fillId="3" borderId="1" applyAlignment="1" applyProtection="1" pivotButton="0" quotePrefix="0" xfId="0">
      <alignment horizontal="center" vertical="center" wrapText="1"/>
      <protection locked="0" hidden="0"/>
    </xf>
    <xf numFmtId="3" fontId="6" fillId="3" borderId="1" applyAlignment="1" applyProtection="1" pivotButton="0" quotePrefix="0" xfId="0">
      <alignment horizontal="center" vertical="center" wrapText="1"/>
      <protection locked="0" hidden="0"/>
    </xf>
    <xf numFmtId="1" fontId="6" fillId="3" borderId="6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8" borderId="14" applyAlignment="1" pivotButton="0" quotePrefix="0" xfId="0">
      <alignment horizontal="center" vertical="center" wrapText="1"/>
    </xf>
    <xf numFmtId="0" fontId="6" fillId="3" borderId="15" applyAlignment="1" applyProtection="1" pivotButton="0" quotePrefix="0" xfId="0">
      <alignment horizontal="center" vertical="center" wrapText="1"/>
      <protection locked="0" hidden="0"/>
    </xf>
    <xf numFmtId="1" fontId="6" fillId="3" borderId="8" applyAlignment="1" applyProtection="1" pivotButton="0" quotePrefix="0" xfId="0">
      <alignment horizontal="center" vertical="center" wrapText="1"/>
      <protection locked="0" hidden="0"/>
    </xf>
    <xf numFmtId="3" fontId="6" fillId="3" borderId="8" applyAlignment="1" applyProtection="1" pivotButton="0" quotePrefix="0" xfId="0">
      <alignment horizontal="center" vertical="center" wrapText="1"/>
      <protection locked="0" hidden="0"/>
    </xf>
    <xf numFmtId="1" fontId="6" fillId="3" borderId="10" applyAlignment="1" applyProtection="1" pivotButton="0" quotePrefix="0" xfId="0">
      <alignment horizontal="center" vertical="center" wrapText="1"/>
      <protection locked="0" hidden="0"/>
    </xf>
    <xf numFmtId="0" fontId="7" fillId="7" borderId="8" applyAlignment="1" pivotButton="0" quotePrefix="0" xfId="0">
      <alignment horizontal="center" vertical="center" wrapText="1"/>
    </xf>
    <xf numFmtId="3" fontId="7" fillId="7" borderId="8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3" fontId="8" fillId="8" borderId="16" applyAlignment="1" pivotButton="0" quotePrefix="0" xfId="0">
      <alignment horizontal="center" vertical="center" wrapText="1"/>
    </xf>
    <xf numFmtId="0" fontId="2" fillId="9" borderId="11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2" fillId="6" borderId="11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3" fontId="7" fillId="0" borderId="14" applyAlignment="1" pivotButton="0" quotePrefix="0" xfId="0">
      <alignment horizontal="right" vertical="center" wrapText="1"/>
    </xf>
    <xf numFmtId="3" fontId="8" fillId="0" borderId="14" applyAlignment="1" pivotButton="0" quotePrefix="0" xfId="0">
      <alignment horizontal="right" vertical="center" wrapText="1"/>
    </xf>
    <xf numFmtId="3" fontId="8" fillId="3" borderId="14" applyAlignment="1" applyProtection="1" pivotButton="0" quotePrefix="0" xfId="0">
      <alignment horizontal="right" vertical="center" wrapText="1"/>
      <protection locked="0" hidden="0"/>
    </xf>
    <xf numFmtId="0" fontId="6" fillId="3" borderId="20" applyAlignment="1" applyProtection="1" pivotButton="0" quotePrefix="0" xfId="0">
      <alignment horizontal="left" vertical="center" wrapText="1"/>
      <protection locked="0" hidden="0"/>
    </xf>
    <xf numFmtId="3" fontId="7" fillId="3" borderId="14" applyAlignment="1" applyProtection="1" pivotButton="0" quotePrefix="0" xfId="0">
      <alignment horizontal="right" vertical="center" wrapText="1"/>
      <protection locked="0" hidden="0"/>
    </xf>
    <xf numFmtId="0" fontId="9" fillId="4" borderId="15" applyAlignment="1" pivotButton="0" quotePrefix="0" xfId="0">
      <alignment horizontal="right" vertical="center" wrapText="1"/>
    </xf>
    <xf numFmtId="0" fontId="0" fillId="0" borderId="18" pivotButton="0" quotePrefix="0" xfId="0"/>
    <xf numFmtId="3" fontId="9" fillId="4" borderId="16" applyAlignment="1" pivotButton="0" quotePrefix="0" xfId="0">
      <alignment horizontal="right" vertical="center" wrapText="1"/>
    </xf>
    <xf numFmtId="0" fontId="10" fillId="10" borderId="2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11" fillId="0" borderId="23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12" fillId="11" borderId="0" applyAlignment="1" pivotButton="0" quotePrefix="0" xfId="0">
      <alignment horizontal="center" vertical="center" wrapText="1"/>
    </xf>
    <xf numFmtId="0" fontId="15" fillId="13" borderId="28" applyAlignment="1" pivotButton="0" quotePrefix="0" xfId="0">
      <alignment horizontal="right" vertical="center" wrapText="1"/>
    </xf>
    <xf numFmtId="49" fontId="15" fillId="14" borderId="28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left" vertical="center" wrapText="1"/>
    </xf>
    <xf numFmtId="0" fontId="13" fillId="12" borderId="28" applyAlignment="1" pivotButton="0" quotePrefix="0" xfId="0">
      <alignment horizontal="center" vertical="center" wrapText="1"/>
    </xf>
    <xf numFmtId="0" fontId="14" fillId="12" borderId="28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13" fillId="0" borderId="28" applyAlignment="1" pivotButton="0" quotePrefix="0" xfId="0">
      <alignment horizontal="left" vertical="center" wrapText="1"/>
    </xf>
    <xf numFmtId="0" fontId="16" fillId="13" borderId="28" applyAlignment="1" pivotButton="0" quotePrefix="0" xfId="0">
      <alignment horizontal="center" vertical="center" wrapText="1"/>
    </xf>
    <xf numFmtId="0" fontId="13" fillId="13" borderId="28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right" vertical="center" wrapText="1"/>
    </xf>
    <xf numFmtId="0" fontId="0" fillId="14" borderId="28" applyAlignment="1" pivotButton="0" quotePrefix="0" xfId="0">
      <alignment horizontal="center" vertical="center" wrapText="1"/>
    </xf>
    <xf numFmtId="49" fontId="0" fillId="14" borderId="28" applyAlignment="1" pivotButton="0" quotePrefix="0" xfId="0">
      <alignment horizontal="center" vertical="center" wrapText="1"/>
    </xf>
    <xf numFmtId="3" fontId="0" fillId="0" borderId="28" applyAlignment="1" pivotButton="0" quotePrefix="0" xfId="0">
      <alignment horizontal="center" vertical="center" wrapText="1"/>
    </xf>
    <xf numFmtId="3" fontId="0" fillId="14" borderId="28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left" vertical="center" wrapText="1"/>
    </xf>
    <xf numFmtId="10" fontId="0" fillId="0" borderId="28" pivotButton="0" quotePrefix="0" xfId="0"/>
    <xf numFmtId="3" fontId="0" fillId="15" borderId="28" pivotButton="0" quotePrefix="0" xfId="0"/>
    <xf numFmtId="0" fontId="15" fillId="0" borderId="28" applyAlignment="1" pivotButton="0" quotePrefix="0" xfId="0">
      <alignment horizontal="center" vertical="center" wrapText="1"/>
    </xf>
    <xf numFmtId="0" fontId="15" fillId="16" borderId="28" applyAlignment="1" pivotButton="0" quotePrefix="0" xfId="0">
      <alignment horizontal="center" vertical="center" wrapText="1"/>
    </xf>
    <xf numFmtId="3" fontId="15" fillId="0" borderId="28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left" vertical="top" wrapText="1"/>
    </xf>
    <xf numFmtId="0" fontId="15" fillId="17" borderId="28" applyAlignment="1" pivotButton="0" quotePrefix="0" xfId="0">
      <alignment horizontal="center" vertical="center" wrapText="1"/>
    </xf>
    <xf numFmtId="0" fontId="15" fillId="14" borderId="28" applyAlignment="1" pivotButton="0" quotePrefix="0" xfId="0">
      <alignment horizontal="right" vertical="center" wrapText="1"/>
    </xf>
    <xf numFmtId="49" fontId="15" fillId="14" borderId="28" applyAlignment="1" pivotButton="0" quotePrefix="0" xfId="0">
      <alignment horizontal="right" vertical="center" wrapText="1"/>
    </xf>
    <xf numFmtId="0" fontId="15" fillId="18" borderId="28" applyAlignment="1" pivotButton="0" quotePrefix="0" xfId="0">
      <alignment horizontal="right" vertical="center" wrapText="1"/>
    </xf>
    <xf numFmtId="3" fontId="18" fillId="0" borderId="28" applyAlignment="1" pivotButton="0" quotePrefix="0" xfId="0">
      <alignment horizontal="center" vertical="center" wrapText="1"/>
    </xf>
    <xf numFmtId="3" fontId="14" fillId="0" borderId="28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left" vertical="top" wrapText="1"/>
    </xf>
    <xf numFmtId="3" fontId="18" fillId="14" borderId="28" applyAlignment="1" pivotButton="0" quotePrefix="0" xfId="0">
      <alignment horizontal="center" vertical="center" wrapText="1"/>
    </xf>
    <xf numFmtId="3" fontId="14" fillId="14" borderId="28" applyAlignment="1" pivotButton="0" quotePrefix="0" xfId="0">
      <alignment horizontal="center" vertical="center" wrapText="1"/>
    </xf>
    <xf numFmtId="0" fontId="16" fillId="18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19" fillId="18" borderId="2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2" customWidth="1" min="4" max="4"/>
    <col width="12" customWidth="1" min="5" max="5"/>
    <col width="11" customWidth="1" min="6" max="6"/>
    <col width="30" customWidth="1" min="7" max="7"/>
    <col width="12" customWidth="1" min="8" max="8"/>
    <col width="30" customWidth="1" min="9" max="9"/>
    <col width="12" customWidth="1" min="10" max="10"/>
  </cols>
  <sheetData>
    <row r="1" ht="35" customHeight="1">
      <c r="A1" s="1" t="inlineStr">
        <is>
          <t>交屋租金分算表 (明細)</t>
        </is>
      </c>
    </row>
    <row r="2" ht="25" customHeight="1">
      <c r="A2" s="2" t="inlineStr">
        <is>
          <t>買方:</t>
        </is>
      </c>
      <c r="B2" s="3" t="inlineStr">
        <is>
          <t>（請填寫）</t>
        </is>
      </c>
      <c r="C2" s="4" t="n"/>
      <c r="D2" s="4" t="n"/>
      <c r="E2" s="5" t="n"/>
      <c r="F2" s="2" t="inlineStr">
        <is>
          <t>賣方:</t>
        </is>
      </c>
      <c r="G2" s="3" t="inlineStr">
        <is>
          <t>（請填寫）</t>
        </is>
      </c>
      <c r="H2" s="4" t="n"/>
      <c r="I2" s="4" t="n"/>
      <c r="J2" s="5" t="n"/>
    </row>
    <row r="3" ht="25" customHeight="1">
      <c r="A3" s="2" t="inlineStr">
        <is>
          <t>房屋地址:</t>
        </is>
      </c>
      <c r="B3" s="3" t="inlineStr">
        <is>
          <t>（請填寫）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 ht="25" customHeight="1">
      <c r="A4" s="6" t="inlineStr">
        <is>
          <t>交屋日期 (7碼)</t>
        </is>
      </c>
      <c r="B4" s="7" t="n">
        <v>1141127</v>
      </c>
      <c r="C4" s="8">
        <f>IF(B4="","", TEXT(DATE(1911+LEFT(B4,3),MID(B4,4,2),RIGHT(B4,2)),"yyyy/mm/dd"))</f>
        <v/>
      </c>
      <c r="D4" s="9" t="inlineStr">
        <is>
          <t>(此日期將連動計算下方租金拆分)</t>
        </is>
      </c>
    </row>
    <row r="5" ht="25" customHeight="1">
      <c r="A5" s="6" t="inlineStr">
        <is>
          <t>交屋日算誰的</t>
        </is>
      </c>
      <c r="B5" s="10" t="inlineStr">
        <is>
          <t>歸賣方</t>
        </is>
      </c>
      <c r="C5" s="11">
        <f>"⚖️ 權益切割：交屋日當天歸 " &amp; RIGHT(B5,2)</f>
        <v/>
      </c>
    </row>
    <row r="6" ht="25" customHeight="1">
      <c r="A6" s="6" t="inlineStr">
        <is>
          <t>計算基準</t>
        </is>
      </c>
      <c r="B6" s="12" t="inlineStr">
        <is>
          <t>精確分段計算</t>
        </is>
      </c>
      <c r="C6" s="11">
        <f>"📊 規則：依該月實際天數計算 (例：9月除以30、10月除以31)，精確反映日租金權重。"</f>
        <v/>
      </c>
    </row>
    <row r="7" ht="40" customHeight="1">
      <c r="A7" s="13" t="inlineStr">
        <is>
          <t>房號/租客</t>
        </is>
      </c>
      <c r="B7" s="14" t="inlineStr">
        <is>
          <t>租期起</t>
        </is>
      </c>
      <c r="C7" s="14" t="inlineStr">
        <is>
          <t>租期訖</t>
        </is>
      </c>
      <c r="D7" s="14" t="inlineStr">
        <is>
          <t>月租金</t>
        </is>
      </c>
      <c r="E7" s="14" t="inlineStr">
        <is>
          <t>押金</t>
        </is>
      </c>
      <c r="F7" s="15" t="inlineStr">
        <is>
          <t>租客已繳至</t>
        </is>
      </c>
      <c r="G7" s="16" t="inlineStr">
        <is>
          <t>賣方補貼買方
(計算詳情)</t>
        </is>
      </c>
      <c r="H7" s="14" t="inlineStr">
        <is>
          <t>補貼金額</t>
        </is>
      </c>
      <c r="I7" s="16" t="inlineStr">
        <is>
          <t>買方補貼賣方
(計算詳情)</t>
        </is>
      </c>
      <c r="J7" s="17" t="inlineStr">
        <is>
          <t>補貼金額</t>
        </is>
      </c>
    </row>
    <row r="8" ht="35" customHeight="1">
      <c r="A8" s="18" t="inlineStr">
        <is>
          <t>301 (範例)</t>
        </is>
      </c>
      <c r="B8" s="19" t="n">
        <v>1140915</v>
      </c>
      <c r="C8" s="19" t="n">
        <v>1141014</v>
      </c>
      <c r="D8" s="20" t="n">
        <v>28300</v>
      </c>
      <c r="E8" s="20" t="n">
        <v>52000</v>
      </c>
      <c r="F8" s="21" t="n">
        <v>1140914</v>
      </c>
      <c r="G8" s="22">
        <f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D8 &amp; "×("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 &amp; " +...",  "$" &amp; D8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D8 &amp; "×(" &amp; DAY(DATE(1911+LEFT(IF(F8="", IF($B$4="", 1140101, $B$4), F8),3),MID(IF(F8="", IF($B$4="", 1140101, $B$4), F8),4,2),RIGHT(IF(F8="", IF($B$4="", 1140101, $B$4), F8),2))) &amp; "/" &amp; DAY(EOMONTH(DATE(1911+LEFT(IF(F8="", IF($B$4="", 1140101, $B$4), F8),3),MID(IF(F8="", IF($B$4="", 1140101, $B$4), F8),4,2),RIGHT(IF(F8="", IF($B$4="", 1140101, $B$4), F8),2)),0)) &amp; ")" )  ), ""), "")</f>
        <v/>
      </c>
      <c r="H8" s="23">
        <f>IF(AND(D8&lt;&gt;"", F8&lt;&gt;""), IF((DATE(1911+LEFT(IF(F8="", IF($B$4="", 1140101, $B$4), F8),3),MID(IF(F8="", IF($B$4="", 1140101, $B$4), F8),4,2),RIGHT(IF(F8="", IF($B$4="", 1140101, $B$4), F8),2))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ROUND(D8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$B$4),2))+1),0)=EOMONTH(DATE(1911+LEFT(IF(F8="", IF($B$4="", 1140101, $B$4), F8),3),MID(IF(F8="", IF($B$4="", 1140101, $B$4), F8),4,2),RIGHT(IF(F8="", IF($B$4="", 1140101, $B$4), F8),2)),0)), ((DATE(1911+LEFT(IF(F8="", IF($B$4="", 1140101, $B$4), F8),3),MID(IF(F8="", IF($B$4="", 1140101, $B$4), F8),4,2),RIGHT(IF(F8="", IF($B$4="", 1140101, $B$4), F8),2))-IF($B$5="歸買方",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(DAY(DATE(1911+LEFT(IF(F8="", IF($B$4="", 1140101, $B$4), F8),3),MID(IF(F8="", IF($B$4="", 1140101, $B$4), F8),4,2),RIGHT(IF(F8="", IF($B$4="", 1140101, $B$4), F8),2)))/DAY(EOMONTH(DATE(1911+LEFT(IF(F8="", IF($B$4="", 1140101, $B$4), F8),3),MID(IF(F8="", IF($B$4="", 1140101, $B$4), F8),4,2),RIGHT(IF(F8="", IF($B$4="", 1140101, $B$4), F8),2)),0))) + MAX(0, (YEAR(DATE(1911+LEFT(IF(F8="", IF($B$4="", 1140101, $B$4), F8),3),MID(IF(F8="", IF($B$4="", 1140101, $B$4), F8),4,2),RIGHT(IF(F8="", IF($B$4="", 1140101, $B$4), F8),2)))-YEAR(IF($B$5="歸買方",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MONTH(DATE(1911+LEFT(IF(F8="", IF($B$4="", 1140101, $B$4), F8),3),MID(IF(F8="", IF($B$4="", 1140101, $B$4), F8),4,2),RIGHT(IF(F8="", IF($B$4="", 1140101, $B$4), F8),2)))-MONTH(IF($B$5="歸買方",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8" s="24">
        <f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"$" &amp; D8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")"  ,  TEXT((DATE(1911+LEFT(IF(F8="", IF($B$4="", 1140101, $B$4), F8),3),MID(IF(F8="", IF($B$4="", 1140101, $B$4), F8),4,2),RIGHT(IF(F8="", IF($B$4="", 1140101, $B$4), F8),2))+1),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&gt; 1),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D8 &amp; "×(" &amp; 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 &amp; "/" &amp; DAY(EOMONTH((DATE(1911+LEFT(IF(F8="", IF($B$4="", 1140101, $B$4), F8),3),MID(IF(F8="", IF($B$4="", 1140101, $B$4), F8),4,2),RIGHT(IF(F8="", IF($B$4="", 1140101, $B$4), F8),2))+1),0)) &amp; ") + $" &amp; D8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8" s="25">
        <f>IF(AND(D8&lt;&gt;"", F8&lt;&gt;""),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DATE(1911+LEFT(IF(F8="", IF($B$4="", 1140101, $B$4), F8),3),MID(IF(F8="", IF($B$4="", 1140101, $B$4), F8),4,2),RIGHT(IF(F8="", IF($B$4="", 1140101, $B$4), F8),2)) + 1), ROUND(D8 * IF((EOMONTH((DATE(1911+LEFT(IF(F8="", IF($B$4="", 1140101, $B$4), F8),3),MID(IF(F8="", IF($B$4="", 1140101, $B$4), F8),4,2),RIGHT(IF(F8="", IF($B$4="", 1140101, $B$4), F8),2))+1),0)=EOMONTH((IF($B$5="歸買方",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F8),2))+1),0))), (((EOMONTH((DATE(1911+LEFT(IF(F8="", IF($B$4="", 1140101, $B$4), F8),3),MID(IF(F8="", IF($B$4="", 1140101, $B$4), F8),4,2),RIGHT(IF(F8="", IF($B$4="", 1140101, $B$4), F8),2))+1),0)-(DATE(1911+LEFT(IF(F8="", IF($B$4="", 1140101, $B$4), F8),3),MID(IF(F8="", IF($B$4="", 1140101, $B$4), F8),4,2),RIGHT(IF(F8="", IF($B$4="", 1140101, $B$4), F8),2))+1)+1)/DAY(EOMONTH((DATE(1911+LEFT(IF(F8="", IF($B$4="", 1140101, $B$4), F8),3),MID(IF(F8="", IF($B$4="", 1140101, $B$4), F8),4,2),RIGHT(IF(F8="", IF($B$4="", 1140101, $B$4), F8),2))+1),0)))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$B$4),2))+1)-1))-YEAR((DATE(1911+LEFT(IF(F8="", IF($B$4="", 1140101, $B$4), F8),3),MID(IF(F8="", IF($B$4="", 1140101, $B$4), F8),4,2),RIGHT(IF(F8="", IF($B$4="", 1140101, $B$4), F8),2))+1)))*12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$B$4),2))+1)-1))-MONTH((DATE(1911+LEFT(IF(F8="", IF($B$4="", 1140101, $B$4), F8),3),MID(IF(F8="", IF($B$4="", 1140101, $B$4), F8),4,2),RIGHT(IF(F8="", IF($B$4="", 1140101, $B$4), F8),2))+1)) - 1))), 0), 0), "")</f>
        <v/>
      </c>
    </row>
    <row r="9" ht="35" customHeight="1">
      <c r="A9" s="18" t="inlineStr"/>
      <c r="B9" s="19" t="inlineStr"/>
      <c r="C9" s="19" t="inlineStr"/>
      <c r="D9" s="20" t="inlineStr"/>
      <c r="E9" s="20" t="inlineStr"/>
      <c r="F9" s="21" t="inlineStr"/>
      <c r="G9" s="22">
        <f>IF(AND(D9&lt;&gt;"", F9&lt;&gt;""), IF((DATE(1911+LEFT(IF(F9="", IF($B$4="", 1140101, $B$4), F9),3),MID(IF(F9="", IF($B$4="", 1140101, $B$4), F9),4,2),RIGHT(IF(F9="", IF($B$4="", 1140101, $B$4), F9),2))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$B$4),2))+1),0)=EOMONTH(DATE(1911+LEFT(IF(F9="", IF($B$4="", 1140101, $B$4), F9),3),MID(IF(F9="", IF($B$4="", 1140101, $B$4), F9),4,2),RIGHT(IF(F9="", IF($B$4="", 1140101, $B$4), F9),2)),0)),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TEXT(DATE(1911+LEFT(IF(F9="", IF($B$4="", 1140101, $B$4), F9),3),MID(IF(F9="", IF($B$4="", 1140101, $B$4), F9),4,2),RIGHT(IF(F9="", IF($B$4="", 1140101, $B$4), F9),2)), "mm/dd") &amp; " 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D9 &amp; "×("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TEXT(DATE(1911+LEFT(IF(F9="", IF($B$4="", 1140101, $B$4), F9),3),MID(IF(F9="", IF($B$4="", 1140101, $B$4), F9),4,2),RIGHT(IF(F9="", IF($B$4="", 1140101, $B$4), F9),2)), "mm/dd") &amp; " (" &amp; 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IF(((YEAR(DATE(1911+LEFT(IF(F9="", IF($B$4="", 1140101, $B$4), F9),3),MID(IF(F9="", IF($B$4="", 1140101, $B$4), F9),4,2),RIGHT(IF(F9="", IF($B$4="", 1140101, $B$4), F9),2)))-YEAR(IF($B$5="歸買方",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MONTH(DATE(1911+LEFT(IF(F9="", IF($B$4="", 1140101, $B$4), F9),3),MID(IF(F9="", IF($B$4="", 1140101, $B$4), F9),4,2),RIGHT(IF(F9="", IF($B$4="", 1140101, $B$4), F9),2)))-MONTH(IF($B$5="歸買方",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D9 &amp; "×(" &amp; DAY(DATE(1911+LEFT(IF(F9="", IF($B$4="", 1140101, $B$4), F9),3),MID(IF(F9="", IF($B$4="", 1140101, $B$4), F9),4,2),RIGHT(IF(F9="", IF($B$4="", 1140101, $B$4), F9),2))) &amp; "/" &amp; DAY(EOMONTH(DATE(1911+LEFT(IF(F9="", IF($B$4="", 1140101, $B$4), F9),3),MID(IF(F9="", IF($B$4="", 1140101, $B$4), F9),4,2),RIGHT(IF(F9="", IF($B$4="", 1140101, $B$4), F9),2)),0)) &amp; ")"  &amp; " +...",  "$" &amp; D9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D9 &amp; "×(" &amp; DAY(DATE(1911+LEFT(IF(F9="", IF($B$4="", 1140101, $B$4), F9),3),MID(IF(F9="", IF($B$4="", 1140101, $B$4), F9),4,2),RIGHT(IF(F9="", IF($B$4="", 1140101, $B$4), F9),2))) &amp; "/" &amp; DAY(EOMONTH(DATE(1911+LEFT(IF(F9="", IF($B$4="", 1140101, $B$4), F9),3),MID(IF(F9="", IF($B$4="", 1140101, $B$4), F9),4,2),RIGHT(IF(F9="", IF($B$4="", 1140101, $B$4), F9),2)),0)) &amp; ")" )  ), ""), "")</f>
        <v/>
      </c>
      <c r="H9" s="23">
        <f>IF(AND(D9&lt;&gt;"", F9&lt;&gt;""), IF((DATE(1911+LEFT(IF(F9="", IF($B$4="", 1140101, $B$4), F9),3),MID(IF(F9="", IF($B$4="", 1140101, $B$4), F9),4,2),RIGHT(IF(F9="", IF($B$4="", 1140101, $B$4), F9),2))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ROUND(D9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$B$4),2))+1),0)=EOMONTH(DATE(1911+LEFT(IF(F9="", IF($B$4="", 1140101, $B$4), F9),3),MID(IF(F9="", IF($B$4="", 1140101, $B$4), F9),4,2),RIGHT(IF(F9="", IF($B$4="", 1140101, $B$4), F9),2)),0)), ((DATE(1911+LEFT(IF(F9="", IF($B$4="", 1140101, $B$4), F9),3),MID(IF(F9="", IF($B$4="", 1140101, $B$4), F9),4,2),RIGHT(IF(F9="", IF($B$4="", 1140101, $B$4), F9),2))-IF($B$5="歸買方",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(DAY(DATE(1911+LEFT(IF(F9="", IF($B$4="", 1140101, $B$4), F9),3),MID(IF(F9="", IF($B$4="", 1140101, $B$4), F9),4,2),RIGHT(IF(F9="", IF($B$4="", 1140101, $B$4), F9),2)))/DAY(EOMONTH(DATE(1911+LEFT(IF(F9="", IF($B$4="", 1140101, $B$4), F9),3),MID(IF(F9="", IF($B$4="", 1140101, $B$4), F9),4,2),RIGHT(IF(F9="", IF($B$4="", 1140101, $B$4), F9),2)),0))) + MAX(0, (YEAR(DATE(1911+LEFT(IF(F9="", IF($B$4="", 1140101, $B$4), F9),3),MID(IF(F9="", IF($B$4="", 1140101, $B$4), F9),4,2),RIGHT(IF(F9="", IF($B$4="", 1140101, $B$4), F9),2)))-YEAR(IF($B$5="歸買方",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MONTH(DATE(1911+LEFT(IF(F9="", IF($B$4="", 1140101, $B$4), F9),3),MID(IF(F9="", IF($B$4="", 1140101, $B$4), F9),4,2),RIGHT(IF(F9="", IF($B$4="", 1140101, $B$4), F9),2)))-MONTH(IF($B$5="歸買方",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9" s="24">
        <f>IF(AND(D9&lt;&gt;"", F9&lt;&gt;""),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DATE(1911+LEFT(IF(F9="", IF($B$4="", 1140101, $B$4), F9),3),MID(IF(F9="", IF($B$4="", 1140101, $B$4), F9),4,2),RIGHT(IF(F9="", IF($B$4="", 1140101, $B$4), F9),2)) + 1), IF((EOMONTH((DATE(1911+LEFT(IF(F9="", IF($B$4="", 1140101, $B$4), F9),3),MID(IF(F9="", IF($B$4="", 1140101, $B$4), F9),4,2),RIGHT(IF(F9="", IF($B$4="", 1140101, $B$4), F9),2))+1),0)=EOMONTH((IF($B$5="歸買方",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TEXT((DATE(1911+LEFT(IF(F9="", IF($B$4="", 1140101, $B$4), F9),3),MID(IF(F9="", IF($B$4="", 1140101, $B$4), F9),4,2),RIGHT(IF(F9="", IF($B$4="", 1140101, $B$4), F9),2))+1),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"天)" &amp; CHAR(10) &amp;  "$" &amp; D9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")"  ,  TEXT((DATE(1911+LEFT(IF(F9="", IF($B$4="", 1140101, $B$4), F9),3),MID(IF(F9="", IF($B$4="", 1140101, $B$4), F9),4,2),RIGHT(IF(F9="", IF($B$4="", 1140101, $B$4), F9),2))+1),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$B$4),2))+1)-1))-YEAR((DATE(1911+LEFT(IF(F9="", IF($B$4="", 1140101, $B$4), F9),3),MID(IF(F9="", IF($B$4="", 1140101, $B$4), F9),4,2),RIGHT(IF(F9="", IF($B$4="", 1140101, $B$4), F9),2))+1)))*12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$B$4),2))+1)-1))-MONTH((DATE(1911+LEFT(IF(F9="", IF($B$4="", 1140101, $B$4), F9),3),MID(IF(F9="", IF($B$4="", 1140101, $B$4), F9),4,2),RIGHT(IF(F9="", IF($B$4="", 1140101, $B$4), F9),2))+1)) &gt; 1),  "$" &amp; D9 &amp; "×(" &amp; 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 + $" &amp; D9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D9 &amp; "×(" &amp; 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 &amp; "/" &amp; DAY(EOMONTH((DATE(1911+LEFT(IF(F9="", IF($B$4="", 1140101, $B$4), F9),3),MID(IF(F9="", IF($B$4="", 1140101, $B$4), F9),4,2),RIGHT(IF(F9="", IF($B$4="", 1140101, $B$4), F9),2))+1),0)) &amp; ") + $" &amp; D9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9" s="25">
        <f>IF(AND(D9&lt;&gt;"", F9&lt;&gt;""),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DATE(1911+LEFT(IF(F9="", IF($B$4="", 1140101, $B$4), F9),3),MID(IF(F9="", IF($B$4="", 1140101, $B$4), F9),4,2),RIGHT(IF(F9="", IF($B$4="", 1140101, $B$4), F9),2)) + 1), ROUND(D9 * IF((EOMONTH((DATE(1911+LEFT(IF(F9="", IF($B$4="", 1140101, $B$4), F9),3),MID(IF(F9="", IF($B$4="", 1140101, $B$4), F9),4,2),RIGHT(IF(F9="", IF($B$4="", 1140101, $B$4), F9),2))+1),0)=EOMONTH((IF($B$5="歸買方",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$B$4),2))+1)-1)-(DATE(1911+LEFT(IF(F9="", IF($B$4="", 1140101, $B$4), F9),3),MID(IF(F9="", IF($B$4="", 1140101, $B$4), F9),4,2),RIGHT(IF(F9="", IF($B$4="", 1140101, $B$4), F9),2))+1)+1)/DAY(EOMONTH((DATE(1911+LEFT(IF(F9="", IF($B$4="", 1140101, $B$4), F9),3),MID(IF(F9="", IF($B$4="", 1140101, $B$4), F9),4,2),RIGHT(IF(F9="", IF($B$4="", 1140101, $B$4), F9),2))+1),0))), (((EOMONTH((DATE(1911+LEFT(IF(F9="", IF($B$4="", 1140101, $B$4), F9),3),MID(IF(F9="", IF($B$4="", 1140101, $B$4), F9),4,2),RIGHT(IF(F9="", IF($B$4="", 1140101, $B$4), F9),2))+1),0)-(DATE(1911+LEFT(IF(F9="", IF($B$4="", 1140101, $B$4), F9),3),MID(IF(F9="", IF($B$4="", 1140101, $B$4), F9),4,2),RIGHT(IF(F9="", IF($B$4="", 1140101, $B$4), F9),2))+1)+1)/DAY(EOMONTH((DATE(1911+LEFT(IF(F9="", IF($B$4="", 1140101, $B$4), F9),3),MID(IF(F9="", IF($B$4="", 1140101, $B$4), F9),4,2),RIGHT(IF(F9="", IF($B$4="", 1140101, $B$4), F9),2))+1),0)))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$B$4),2))+1)-1))-YEAR((DATE(1911+LEFT(IF(F9="", IF($B$4="", 1140101, $B$4), F9),3),MID(IF(F9="", IF($B$4="", 1140101, $B$4), F9),4,2),RIGHT(IF(F9="", IF($B$4="", 1140101, $B$4), F9),2))+1)))*12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$B$4),2))+1)-1))-MONTH((DATE(1911+LEFT(IF(F9="", IF($B$4="", 1140101, $B$4), F9),3),MID(IF(F9="", IF($B$4="", 1140101, $B$4), F9),4,2),RIGHT(IF(F9="", IF($B$4="", 1140101, $B$4), F9),2))+1)) - 1))), 0), 0), "")</f>
        <v/>
      </c>
    </row>
    <row r="10" ht="35" customHeight="1">
      <c r="A10" s="18" t="inlineStr"/>
      <c r="B10" s="19" t="inlineStr"/>
      <c r="C10" s="19" t="inlineStr"/>
      <c r="D10" s="20" t="inlineStr"/>
      <c r="E10" s="20" t="inlineStr"/>
      <c r="F10" s="21" t="inlineStr"/>
      <c r="G10" s="22">
        <f>IF(AND(D10&lt;&gt;"", F10&lt;&gt;""), IF((DATE(1911+LEFT(IF(F10="", IF($B$4="", 1140101, $B$4), F10),3),MID(IF(F10="", IF($B$4="", 1140101, $B$4), F10),4,2),RIGHT(IF(F10="", IF($B$4="", 1140101, $B$4), F10),2))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$B$4),2))+1),0)=EOMONTH(DATE(1911+LEFT(IF(F10="", IF($B$4="", 1140101, $B$4), F10),3),MID(IF(F10="", IF($B$4="", 1140101, $B$4), F10),4,2),RIGHT(IF(F10="", IF($B$4="", 1140101, $B$4), F10),2)),0)),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TEXT(DATE(1911+LEFT(IF(F10="", IF($B$4="", 1140101, $B$4), F10),3),MID(IF(F10="", IF($B$4="", 1140101, $B$4), F10),4,2),RIGHT(IF(F10="", IF($B$4="", 1140101, $B$4), F10),2)), "mm/dd") &amp; " 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D10 &amp; "×("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TEXT(DATE(1911+LEFT(IF(F10="", IF($B$4="", 1140101, $B$4), F10),3),MID(IF(F10="", IF($B$4="", 1140101, $B$4), F10),4,2),RIGHT(IF(F10="", IF($B$4="", 1140101, $B$4), F10),2)), "mm/dd") &amp; " (" &amp; 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IF(((YEAR(DATE(1911+LEFT(IF(F10="", IF($B$4="", 1140101, $B$4), F10),3),MID(IF(F10="", IF($B$4="", 1140101, $B$4), F10),4,2),RIGHT(IF(F10="", IF($B$4="", 1140101, $B$4), F10),2)))-YEAR(IF($B$5="歸買方",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MONTH(DATE(1911+LEFT(IF(F10="", IF($B$4="", 1140101, $B$4), F10),3),MID(IF(F10="", IF($B$4="", 1140101, $B$4), F10),4,2),RIGHT(IF(F10="", IF($B$4="", 1140101, $B$4), F10),2)))-MONTH(IF($B$5="歸買方",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D10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D10 &amp; "×(" &amp; DAY(DATE(1911+LEFT(IF(F10="", IF($B$4="", 1140101, $B$4), F10),3),MID(IF(F10="", IF($B$4="", 1140101, $B$4), F10),4,2),RIGHT(IF(F10="", IF($B$4="", 1140101, $B$4), F10),2))) &amp; "/" &amp; DAY(EOMONTH(DATE(1911+LEFT(IF(F10="", IF($B$4="", 1140101, $B$4), F10),3),MID(IF(F10="", IF($B$4="", 1140101, $B$4), F10),4,2),RIGHT(IF(F10="", IF($B$4="", 1140101, $B$4), F10),2)),0)) &amp; ")"  &amp; " +...",  "$" &amp; D10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D10 &amp; "×(" &amp; DAY(DATE(1911+LEFT(IF(F10="", IF($B$4="", 1140101, $B$4), F10),3),MID(IF(F10="", IF($B$4="", 1140101, $B$4), F10),4,2),RIGHT(IF(F10="", IF($B$4="", 1140101, $B$4), F10),2))) &amp; "/" &amp; DAY(EOMONTH(DATE(1911+LEFT(IF(F10="", IF($B$4="", 1140101, $B$4), F10),3),MID(IF(F10="", IF($B$4="", 1140101, $B$4), F10),4,2),RIGHT(IF(F10="", IF($B$4="", 1140101, $B$4), F10),2)),0)) &amp; ")" )  ), ""), "")</f>
        <v/>
      </c>
      <c r="H10" s="23">
        <f>IF(AND(D10&lt;&gt;"", F10&lt;&gt;""), IF((DATE(1911+LEFT(IF(F10="", IF($B$4="", 1140101, $B$4), F10),3),MID(IF(F10="", IF($B$4="", 1140101, $B$4), F10),4,2),RIGHT(IF(F10="", IF($B$4="", 1140101, $B$4), F10),2))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ROUND(D10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$B$4),2))+1),0)=EOMONTH(DATE(1911+LEFT(IF(F10="", IF($B$4="", 1140101, $B$4), F10),3),MID(IF(F10="", IF($B$4="", 1140101, $B$4), F10),4,2),RIGHT(IF(F10="", IF($B$4="", 1140101, $B$4), F10),2)),0)), ((DATE(1911+LEFT(IF(F10="", IF($B$4="", 1140101, $B$4), F10),3),MID(IF(F10="", IF($B$4="", 1140101, $B$4), F10),4,2),RIGHT(IF(F10="", IF($B$4="", 1140101, $B$4), F10),2))-IF($B$5="歸買方",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(DAY(DATE(1911+LEFT(IF(F10="", IF($B$4="", 1140101, $B$4), F10),3),MID(IF(F10="", IF($B$4="", 1140101, $B$4), F10),4,2),RIGHT(IF(F10="", IF($B$4="", 1140101, $B$4), F10),2)))/DAY(EOMONTH(DATE(1911+LEFT(IF(F10="", IF($B$4="", 1140101, $B$4), F10),3),MID(IF(F10="", IF($B$4="", 1140101, $B$4), F10),4,2),RIGHT(IF(F10="", IF($B$4="", 1140101, $B$4), F10),2)),0))) + MAX(0, (YEAR(DATE(1911+LEFT(IF(F10="", IF($B$4="", 1140101, $B$4), F10),3),MID(IF(F10="", IF($B$4="", 1140101, $B$4), F10),4,2),RIGHT(IF(F10="", IF($B$4="", 1140101, $B$4), F10),2)))-YEAR(IF($B$5="歸買方",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MONTH(DATE(1911+LEFT(IF(F10="", IF($B$4="", 1140101, $B$4), F10),3),MID(IF(F10="", IF($B$4="", 1140101, $B$4), F10),4,2),RIGHT(IF(F10="", IF($B$4="", 1140101, $B$4), F10),2)))-MONTH(IF($B$5="歸買方",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0" s="24">
        <f>IF(AND(D10&lt;&gt;"", F10&lt;&gt;""),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DATE(1911+LEFT(IF(F10="", IF($B$4="", 1140101, $B$4), F10),3),MID(IF(F10="", IF($B$4="", 1140101, $B$4), F10),4,2),RIGHT(IF(F10="", IF($B$4="", 1140101, $B$4), F10),2)) + 1), IF((EOMONTH((DATE(1911+LEFT(IF(F10="", IF($B$4="", 1140101, $B$4), F10),3),MID(IF(F10="", IF($B$4="", 1140101, $B$4), F10),4,2),RIGHT(IF(F10="", IF($B$4="", 1140101, $B$4), F10),2))+1),0)=EOMONTH((IF($B$5="歸買方",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TEXT((DATE(1911+LEFT(IF(F10="", IF($B$4="", 1140101, $B$4), F10),3),MID(IF(F10="", IF($B$4="", 1140101, $B$4), F10),4,2),RIGHT(IF(F10="", IF($B$4="", 1140101, $B$4), F10),2))+1),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"天)" &amp; CHAR(10) &amp;  "$" &amp; D10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")"  ,  TEXT((DATE(1911+LEFT(IF(F10="", IF($B$4="", 1140101, $B$4), F10),3),MID(IF(F10="", IF($B$4="", 1140101, $B$4), F10),4,2),RIGHT(IF(F10="", IF($B$4="", 1140101, $B$4), F10),2))+1),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$B$4),2))+1)-1))-YEAR((DATE(1911+LEFT(IF(F10="", IF($B$4="", 1140101, $B$4), F10),3),MID(IF(F10="", IF($B$4="", 1140101, $B$4), F10),4,2),RIGHT(IF(F10="", IF($B$4="", 1140101, $B$4), F10),2))+1)))*12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$B$4),2))+1)-1))-MONTH((DATE(1911+LEFT(IF(F10="", IF($B$4="", 1140101, $B$4), F10),3),MID(IF(F10="", IF($B$4="", 1140101, $B$4), F10),4,2),RIGHT(IF(F10="", IF($B$4="", 1140101, $B$4), F10),2))+1)) &gt; 1),  "$" &amp; D10 &amp; "×(" &amp; 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 + $" &amp; D10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D10 &amp; "×(" &amp; 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 &amp; "/" &amp; DAY(EOMONTH((DATE(1911+LEFT(IF(F10="", IF($B$4="", 1140101, $B$4), F10),3),MID(IF(F10="", IF($B$4="", 1140101, $B$4), F10),4,2),RIGHT(IF(F10="", IF($B$4="", 1140101, $B$4), F10),2))+1),0)) &amp; ") + $" &amp; D10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0" s="25">
        <f>IF(AND(D10&lt;&gt;"", F10&lt;&gt;""),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DATE(1911+LEFT(IF(F10="", IF($B$4="", 1140101, $B$4), F10),3),MID(IF(F10="", IF($B$4="", 1140101, $B$4), F10),4,2),RIGHT(IF(F10="", IF($B$4="", 1140101, $B$4), F10),2)) + 1), ROUND(D10 * IF((EOMONTH((DATE(1911+LEFT(IF(F10="", IF($B$4="", 1140101, $B$4), F10),3),MID(IF(F10="", IF($B$4="", 1140101, $B$4), F10),4,2),RIGHT(IF(F10="", IF($B$4="", 1140101, $B$4), F10),2))+1),0)=EOMONTH((IF($B$5="歸買方",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$B$4),2))+1)-1)-(DATE(1911+LEFT(IF(F10="", IF($B$4="", 1140101, $B$4), F10),3),MID(IF(F10="", IF($B$4="", 1140101, $B$4), F10),4,2),RIGHT(IF(F10="", IF($B$4="", 1140101, $B$4), F10),2))+1)+1)/DAY(EOMONTH((DATE(1911+LEFT(IF(F10="", IF($B$4="", 1140101, $B$4), F10),3),MID(IF(F10="", IF($B$4="", 1140101, $B$4), F10),4,2),RIGHT(IF(F10="", IF($B$4="", 1140101, $B$4), F10),2))+1),0))), (((EOMONTH((DATE(1911+LEFT(IF(F10="", IF($B$4="", 1140101, $B$4), F10),3),MID(IF(F10="", IF($B$4="", 1140101, $B$4), F10),4,2),RIGHT(IF(F10="", IF($B$4="", 1140101, $B$4), F10),2))+1),0)-(DATE(1911+LEFT(IF(F10="", IF($B$4="", 1140101, $B$4), F10),3),MID(IF(F10="", IF($B$4="", 1140101, $B$4), F10),4,2),RIGHT(IF(F10="", IF($B$4="", 1140101, $B$4), F10),2))+1)+1)/DAY(EOMONTH((DATE(1911+LEFT(IF(F10="", IF($B$4="", 1140101, $B$4), F10),3),MID(IF(F10="", IF($B$4="", 1140101, $B$4), F10),4,2),RIGHT(IF(F10="", IF($B$4="", 1140101, $B$4), F10),2))+1),0)))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$B$4),2))+1)-1))-YEAR((DATE(1911+LEFT(IF(F10="", IF($B$4="", 1140101, $B$4), F10),3),MID(IF(F10="", IF($B$4="", 1140101, $B$4), F10),4,2),RIGHT(IF(F10="", IF($B$4="", 1140101, $B$4), F10),2))+1)))*12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$B$4),2))+1)-1))-MONTH((DATE(1911+LEFT(IF(F10="", IF($B$4="", 1140101, $B$4), F10),3),MID(IF(F10="", IF($B$4="", 1140101, $B$4), F10),4,2),RIGHT(IF(F10="", IF($B$4="", 1140101, $B$4), F10),2))+1)) - 1))), 0), 0), "")</f>
        <v/>
      </c>
    </row>
    <row r="11" ht="35" customHeight="1">
      <c r="A11" s="18" t="inlineStr"/>
      <c r="B11" s="19" t="inlineStr"/>
      <c r="C11" s="19" t="inlineStr"/>
      <c r="D11" s="20" t="inlineStr"/>
      <c r="E11" s="20" t="inlineStr"/>
      <c r="F11" s="21" t="inlineStr"/>
      <c r="G11" s="22">
        <f>IF(AND(D11&lt;&gt;"", F11&lt;&gt;""), IF((DATE(1911+LEFT(IF(F11="", IF($B$4="", 1140101, $B$4), F11),3),MID(IF(F11="", IF($B$4="", 1140101, $B$4), F11),4,2),RIGHT(IF(F11="", IF($B$4="", 1140101, $B$4), F11),2))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$B$4),2))+1),0)=EOMONTH(DATE(1911+LEFT(IF(F11="", IF($B$4="", 1140101, $B$4), F11),3),MID(IF(F11="", IF($B$4="", 1140101, $B$4), F11),4,2),RIGHT(IF(F11="", IF($B$4="", 1140101, $B$4), F11),2)),0)),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TEXT(DATE(1911+LEFT(IF(F11="", IF($B$4="", 1140101, $B$4), F11),3),MID(IF(F11="", IF($B$4="", 1140101, $B$4), F11),4,2),RIGHT(IF(F11="", IF($B$4="", 1140101, $B$4), F11),2)), "mm/dd") &amp; " 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D11 &amp; "×("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TEXT(DATE(1911+LEFT(IF(F11="", IF($B$4="", 1140101, $B$4), F11),3),MID(IF(F11="", IF($B$4="", 1140101, $B$4), F11),4,2),RIGHT(IF(F11="", IF($B$4="", 1140101, $B$4), F11),2)), "mm/dd") &amp; " (" &amp; 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IF(((YEAR(DATE(1911+LEFT(IF(F11="", IF($B$4="", 1140101, $B$4), F11),3),MID(IF(F11="", IF($B$4="", 1140101, $B$4), F11),4,2),RIGHT(IF(F11="", IF($B$4="", 1140101, $B$4), F11),2)))-YEAR(IF($B$5="歸買方",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MONTH(DATE(1911+LEFT(IF(F11="", IF($B$4="", 1140101, $B$4), F11),3),MID(IF(F11="", IF($B$4="", 1140101, $B$4), F11),4,2),RIGHT(IF(F11="", IF($B$4="", 1140101, $B$4), F11),2)))-MONTH(IF($B$5="歸買方",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D11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D11 &amp; "×(" &amp; DAY(DATE(1911+LEFT(IF(F11="", IF($B$4="", 1140101, $B$4), F11),3),MID(IF(F11="", IF($B$4="", 1140101, $B$4), F11),4,2),RIGHT(IF(F11="", IF($B$4="", 1140101, $B$4), F11),2))) &amp; "/" &amp; DAY(EOMONTH(DATE(1911+LEFT(IF(F11="", IF($B$4="", 1140101, $B$4), F11),3),MID(IF(F11="", IF($B$4="", 1140101, $B$4), F11),4,2),RIGHT(IF(F11="", IF($B$4="", 1140101, $B$4), F11),2)),0)) &amp; ")"  &amp; " +...",  "$" &amp; D11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D11 &amp; "×(" &amp; DAY(DATE(1911+LEFT(IF(F11="", IF($B$4="", 1140101, $B$4), F11),3),MID(IF(F11="", IF($B$4="", 1140101, $B$4), F11),4,2),RIGHT(IF(F11="", IF($B$4="", 1140101, $B$4), F11),2))) &amp; "/" &amp; DAY(EOMONTH(DATE(1911+LEFT(IF(F11="", IF($B$4="", 1140101, $B$4), F11),3),MID(IF(F11="", IF($B$4="", 1140101, $B$4), F11),4,2),RIGHT(IF(F11="", IF($B$4="", 1140101, $B$4), F11),2)),0)) &amp; ")" )  ), ""), "")</f>
        <v/>
      </c>
      <c r="H11" s="23">
        <f>IF(AND(D11&lt;&gt;"", F11&lt;&gt;""), IF((DATE(1911+LEFT(IF(F11="", IF($B$4="", 1140101, $B$4), F11),3),MID(IF(F11="", IF($B$4="", 1140101, $B$4), F11),4,2),RIGHT(IF(F11="", IF($B$4="", 1140101, $B$4), F11),2))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ROUND(D11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$B$4),2))+1),0)=EOMONTH(DATE(1911+LEFT(IF(F11="", IF($B$4="", 1140101, $B$4), F11),3),MID(IF(F11="", IF($B$4="", 1140101, $B$4), F11),4,2),RIGHT(IF(F11="", IF($B$4="", 1140101, $B$4), F11),2)),0)), ((DATE(1911+LEFT(IF(F11="", IF($B$4="", 1140101, $B$4), F11),3),MID(IF(F11="", IF($B$4="", 1140101, $B$4), F11),4,2),RIGHT(IF(F11="", IF($B$4="", 1140101, $B$4), F11),2))-IF($B$5="歸買方",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(DAY(DATE(1911+LEFT(IF(F11="", IF($B$4="", 1140101, $B$4), F11),3),MID(IF(F11="", IF($B$4="", 1140101, $B$4), F11),4,2),RIGHT(IF(F11="", IF($B$4="", 1140101, $B$4), F11),2)))/DAY(EOMONTH(DATE(1911+LEFT(IF(F11="", IF($B$4="", 1140101, $B$4), F11),3),MID(IF(F11="", IF($B$4="", 1140101, $B$4), F11),4,2),RIGHT(IF(F11="", IF($B$4="", 1140101, $B$4), F11),2)),0))) + MAX(0, (YEAR(DATE(1911+LEFT(IF(F11="", IF($B$4="", 1140101, $B$4), F11),3),MID(IF(F11="", IF($B$4="", 1140101, $B$4), F11),4,2),RIGHT(IF(F11="", IF($B$4="", 1140101, $B$4), F11),2)))-YEAR(IF($B$5="歸買方",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MONTH(DATE(1911+LEFT(IF(F11="", IF($B$4="", 1140101, $B$4), F11),3),MID(IF(F11="", IF($B$4="", 1140101, $B$4), F11),4,2),RIGHT(IF(F11="", IF($B$4="", 1140101, $B$4), F11),2)))-MONTH(IF($B$5="歸買方",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1" s="24">
        <f>IF(AND(D11&lt;&gt;"", F11&lt;&gt;""),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DATE(1911+LEFT(IF(F11="", IF($B$4="", 1140101, $B$4), F11),3),MID(IF(F11="", IF($B$4="", 1140101, $B$4), F11),4,2),RIGHT(IF(F11="", IF($B$4="", 1140101, $B$4), F11),2)) + 1), IF((EOMONTH((DATE(1911+LEFT(IF(F11="", IF($B$4="", 1140101, $B$4), F11),3),MID(IF(F11="", IF($B$4="", 1140101, $B$4), F11),4,2),RIGHT(IF(F11="", IF($B$4="", 1140101, $B$4), F11),2))+1),0)=EOMONTH((IF($B$5="歸買方",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TEXT((DATE(1911+LEFT(IF(F11="", IF($B$4="", 1140101, $B$4), F11),3),MID(IF(F11="", IF($B$4="", 1140101, $B$4), F11),4,2),RIGHT(IF(F11="", IF($B$4="", 1140101, $B$4), F11),2))+1),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"天)" &amp; CHAR(10) &amp;  "$" &amp; D11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")"  ,  TEXT((DATE(1911+LEFT(IF(F11="", IF($B$4="", 1140101, $B$4), F11),3),MID(IF(F11="", IF($B$4="", 1140101, $B$4), F11),4,2),RIGHT(IF(F11="", IF($B$4="", 1140101, $B$4), F11),2))+1),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$B$4),2))+1)-1))-YEAR((DATE(1911+LEFT(IF(F11="", IF($B$4="", 1140101, $B$4), F11),3),MID(IF(F11="", IF($B$4="", 1140101, $B$4), F11),4,2),RIGHT(IF(F11="", IF($B$4="", 1140101, $B$4), F11),2))+1)))*12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$B$4),2))+1)-1))-MONTH((DATE(1911+LEFT(IF(F11="", IF($B$4="", 1140101, $B$4), F11),3),MID(IF(F11="", IF($B$4="", 1140101, $B$4), F11),4,2),RIGHT(IF(F11="", IF($B$4="", 1140101, $B$4), F11),2))+1)) &gt; 1),  "$" &amp; D11 &amp; "×(" &amp; 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 + $" &amp; D11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D11 &amp; "×(" &amp; 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 &amp; "/" &amp; DAY(EOMONTH((DATE(1911+LEFT(IF(F11="", IF($B$4="", 1140101, $B$4), F11),3),MID(IF(F11="", IF($B$4="", 1140101, $B$4), F11),4,2),RIGHT(IF(F11="", IF($B$4="", 1140101, $B$4), F11),2))+1),0)) &amp; ") + $" &amp; D11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1" s="25">
        <f>IF(AND(D11&lt;&gt;"", F11&lt;&gt;""),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DATE(1911+LEFT(IF(F11="", IF($B$4="", 1140101, $B$4), F11),3),MID(IF(F11="", IF($B$4="", 1140101, $B$4), F11),4,2),RIGHT(IF(F11="", IF($B$4="", 1140101, $B$4), F11),2)) + 1), ROUND(D11 * IF((EOMONTH((DATE(1911+LEFT(IF(F11="", IF($B$4="", 1140101, $B$4), F11),3),MID(IF(F11="", IF($B$4="", 1140101, $B$4), F11),4,2),RIGHT(IF(F11="", IF($B$4="", 1140101, $B$4), F11),2))+1),0)=EOMONTH((IF($B$5="歸買方",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$B$4),2))+1)-1)-(DATE(1911+LEFT(IF(F11="", IF($B$4="", 1140101, $B$4), F11),3),MID(IF(F11="", IF($B$4="", 1140101, $B$4), F11),4,2),RIGHT(IF(F11="", IF($B$4="", 1140101, $B$4), F11),2))+1)+1)/DAY(EOMONTH((DATE(1911+LEFT(IF(F11="", IF($B$4="", 1140101, $B$4), F11),3),MID(IF(F11="", IF($B$4="", 1140101, $B$4), F11),4,2),RIGHT(IF(F11="", IF($B$4="", 1140101, $B$4), F11),2))+1),0))), (((EOMONTH((DATE(1911+LEFT(IF(F11="", IF($B$4="", 1140101, $B$4), F11),3),MID(IF(F11="", IF($B$4="", 1140101, $B$4), F11),4,2),RIGHT(IF(F11="", IF($B$4="", 1140101, $B$4), F11),2))+1),0)-(DATE(1911+LEFT(IF(F11="", IF($B$4="", 1140101, $B$4), F11),3),MID(IF(F11="", IF($B$4="", 1140101, $B$4), F11),4,2),RIGHT(IF(F11="", IF($B$4="", 1140101, $B$4), F11),2))+1)+1)/DAY(EOMONTH((DATE(1911+LEFT(IF(F11="", IF($B$4="", 1140101, $B$4), F11),3),MID(IF(F11="", IF($B$4="", 1140101, $B$4), F11),4,2),RIGHT(IF(F11="", IF($B$4="", 1140101, $B$4), F11),2))+1),0)))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$B$4),2))+1)-1))-YEAR((DATE(1911+LEFT(IF(F11="", IF($B$4="", 1140101, $B$4), F11),3),MID(IF(F11="", IF($B$4="", 1140101, $B$4), F11),4,2),RIGHT(IF(F11="", IF($B$4="", 1140101, $B$4), F11),2))+1)))*12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$B$4),2))+1)-1))-MONTH((DATE(1911+LEFT(IF(F11="", IF($B$4="", 1140101, $B$4), F11),3),MID(IF(F11="", IF($B$4="", 1140101, $B$4), F11),4,2),RIGHT(IF(F11="", IF($B$4="", 1140101, $B$4), F11),2))+1)) - 1))), 0), 0), "")</f>
        <v/>
      </c>
    </row>
    <row r="12" ht="35" customHeight="1">
      <c r="A12" s="18" t="inlineStr"/>
      <c r="B12" s="19" t="inlineStr"/>
      <c r="C12" s="19" t="inlineStr"/>
      <c r="D12" s="20" t="inlineStr"/>
      <c r="E12" s="20" t="inlineStr"/>
      <c r="F12" s="21" t="inlineStr"/>
      <c r="G12" s="22">
        <f>IF(AND(D12&lt;&gt;"", F12&lt;&gt;""), IF((DATE(1911+LEFT(IF(F12="", IF($B$4="", 1140101, $B$4), F12),3),MID(IF(F12="", IF($B$4="", 1140101, $B$4), F12),4,2),RIGHT(IF(F12="", IF($B$4="", 1140101, $B$4), F12),2))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$B$4),2))+1),0)=EOMONTH(DATE(1911+LEFT(IF(F12="", IF($B$4="", 1140101, $B$4), F12),3),MID(IF(F12="", IF($B$4="", 1140101, $B$4), F12),4,2),RIGHT(IF(F12="", IF($B$4="", 1140101, $B$4), F12),2)),0)),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TEXT(DATE(1911+LEFT(IF(F12="", IF($B$4="", 1140101, $B$4), F12),3),MID(IF(F12="", IF($B$4="", 1140101, $B$4), F12),4,2),RIGHT(IF(F12="", IF($B$4="", 1140101, $B$4), F12),2)), "mm/dd") &amp; " 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D12 &amp; "×("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TEXT(DATE(1911+LEFT(IF(F12="", IF($B$4="", 1140101, $B$4), F12),3),MID(IF(F12="", IF($B$4="", 1140101, $B$4), F12),4,2),RIGHT(IF(F12="", IF($B$4="", 1140101, $B$4), F12),2)), "mm/dd") &amp; " (" &amp; 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IF(((YEAR(DATE(1911+LEFT(IF(F12="", IF($B$4="", 1140101, $B$4), F12),3),MID(IF(F12="", IF($B$4="", 1140101, $B$4), F12),4,2),RIGHT(IF(F12="", IF($B$4="", 1140101, $B$4), F12),2)))-YEAR(IF($B$5="歸買方",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MONTH(DATE(1911+LEFT(IF(F12="", IF($B$4="", 1140101, $B$4), F12),3),MID(IF(F12="", IF($B$4="", 1140101, $B$4), F12),4,2),RIGHT(IF(F12="", IF($B$4="", 1140101, $B$4), F12),2)))-MONTH(IF($B$5="歸買方",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D12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D12 &amp; "×(" &amp; DAY(DATE(1911+LEFT(IF(F12="", IF($B$4="", 1140101, $B$4), F12),3),MID(IF(F12="", IF($B$4="", 1140101, $B$4), F12),4,2),RIGHT(IF(F12="", IF($B$4="", 1140101, $B$4), F12),2))) &amp; "/" &amp; DAY(EOMONTH(DATE(1911+LEFT(IF(F12="", IF($B$4="", 1140101, $B$4), F12),3),MID(IF(F12="", IF($B$4="", 1140101, $B$4), F12),4,2),RIGHT(IF(F12="", IF($B$4="", 1140101, $B$4), F12),2)),0)) &amp; ")"  &amp; " +...",  "$" &amp; D12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D12 &amp; "×(" &amp; DAY(DATE(1911+LEFT(IF(F12="", IF($B$4="", 1140101, $B$4), F12),3),MID(IF(F12="", IF($B$4="", 1140101, $B$4), F12),4,2),RIGHT(IF(F12="", IF($B$4="", 1140101, $B$4), F12),2))) &amp; "/" &amp; DAY(EOMONTH(DATE(1911+LEFT(IF(F12="", IF($B$4="", 1140101, $B$4), F12),3),MID(IF(F12="", IF($B$4="", 1140101, $B$4), F12),4,2),RIGHT(IF(F12="", IF($B$4="", 1140101, $B$4), F12),2)),0)) &amp; ")" )  ), ""), "")</f>
        <v/>
      </c>
      <c r="H12" s="23">
        <f>IF(AND(D12&lt;&gt;"", F12&lt;&gt;""), IF((DATE(1911+LEFT(IF(F12="", IF($B$4="", 1140101, $B$4), F12),3),MID(IF(F12="", IF($B$4="", 1140101, $B$4), F12),4,2),RIGHT(IF(F12="", IF($B$4="", 1140101, $B$4), F12),2))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ROUND(D12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$B$4),2))+1),0)=EOMONTH(DATE(1911+LEFT(IF(F12="", IF($B$4="", 1140101, $B$4), F12),3),MID(IF(F12="", IF($B$4="", 1140101, $B$4), F12),4,2),RIGHT(IF(F12="", IF($B$4="", 1140101, $B$4), F12),2)),0)), ((DATE(1911+LEFT(IF(F12="", IF($B$4="", 1140101, $B$4), F12),3),MID(IF(F12="", IF($B$4="", 1140101, $B$4), F12),4,2),RIGHT(IF(F12="", IF($B$4="", 1140101, $B$4), F12),2))-IF($B$5="歸買方",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(DAY(DATE(1911+LEFT(IF(F12="", IF($B$4="", 1140101, $B$4), F12),3),MID(IF(F12="", IF($B$4="", 1140101, $B$4), F12),4,2),RIGHT(IF(F12="", IF($B$4="", 1140101, $B$4), F12),2)))/DAY(EOMONTH(DATE(1911+LEFT(IF(F12="", IF($B$4="", 1140101, $B$4), F12),3),MID(IF(F12="", IF($B$4="", 1140101, $B$4), F12),4,2),RIGHT(IF(F12="", IF($B$4="", 1140101, $B$4), F12),2)),0))) + MAX(0, (YEAR(DATE(1911+LEFT(IF(F12="", IF($B$4="", 1140101, $B$4), F12),3),MID(IF(F12="", IF($B$4="", 1140101, $B$4), F12),4,2),RIGHT(IF(F12="", IF($B$4="", 1140101, $B$4), F12),2)))-YEAR(IF($B$5="歸買方",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MONTH(DATE(1911+LEFT(IF(F12="", IF($B$4="", 1140101, $B$4), F12),3),MID(IF(F12="", IF($B$4="", 1140101, $B$4), F12),4,2),RIGHT(IF(F12="", IF($B$4="", 1140101, $B$4), F12),2)))-MONTH(IF($B$5="歸買方",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2" s="24">
        <f>IF(AND(D12&lt;&gt;"", F12&lt;&gt;""),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DATE(1911+LEFT(IF(F12="", IF($B$4="", 1140101, $B$4), F12),3),MID(IF(F12="", IF($B$4="", 1140101, $B$4), F12),4,2),RIGHT(IF(F12="", IF($B$4="", 1140101, $B$4), F12),2)) + 1), IF((EOMONTH((DATE(1911+LEFT(IF(F12="", IF($B$4="", 1140101, $B$4), F12),3),MID(IF(F12="", IF($B$4="", 1140101, $B$4), F12),4,2),RIGHT(IF(F12="", IF($B$4="", 1140101, $B$4), F12),2))+1),0)=EOMONTH((IF($B$5="歸買方",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TEXT((DATE(1911+LEFT(IF(F12="", IF($B$4="", 1140101, $B$4), F12),3),MID(IF(F12="", IF($B$4="", 1140101, $B$4), F12),4,2),RIGHT(IF(F12="", IF($B$4="", 1140101, $B$4), F12),2))+1),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"天)" &amp; CHAR(10) &amp;  "$" &amp; D12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")"  ,  TEXT((DATE(1911+LEFT(IF(F12="", IF($B$4="", 1140101, $B$4), F12),3),MID(IF(F12="", IF($B$4="", 1140101, $B$4), F12),4,2),RIGHT(IF(F12="", IF($B$4="", 1140101, $B$4), F12),2))+1),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$B$4),2))+1)-1))-YEAR((DATE(1911+LEFT(IF(F12="", IF($B$4="", 1140101, $B$4), F12),3),MID(IF(F12="", IF($B$4="", 1140101, $B$4), F12),4,2),RIGHT(IF(F12="", IF($B$4="", 1140101, $B$4), F12),2))+1)))*12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$B$4),2))+1)-1))-MONTH((DATE(1911+LEFT(IF(F12="", IF($B$4="", 1140101, $B$4), F12),3),MID(IF(F12="", IF($B$4="", 1140101, $B$4), F12),4,2),RIGHT(IF(F12="", IF($B$4="", 1140101, $B$4), F12),2))+1)) &gt; 1),  "$" &amp; D12 &amp; "×(" &amp; 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 + $" &amp; D12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D12 &amp; "×(" &amp; 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 &amp; "/" &amp; DAY(EOMONTH((DATE(1911+LEFT(IF(F12="", IF($B$4="", 1140101, $B$4), F12),3),MID(IF(F12="", IF($B$4="", 1140101, $B$4), F12),4,2),RIGHT(IF(F12="", IF($B$4="", 1140101, $B$4), F12),2))+1),0)) &amp; ") + $" &amp; D12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2" s="25">
        <f>IF(AND(D12&lt;&gt;"", F12&lt;&gt;""),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DATE(1911+LEFT(IF(F12="", IF($B$4="", 1140101, $B$4), F12),3),MID(IF(F12="", IF($B$4="", 1140101, $B$4), F12),4,2),RIGHT(IF(F12="", IF($B$4="", 1140101, $B$4), F12),2)) + 1), ROUND(D12 * IF((EOMONTH((DATE(1911+LEFT(IF(F12="", IF($B$4="", 1140101, $B$4), F12),3),MID(IF(F12="", IF($B$4="", 1140101, $B$4), F12),4,2),RIGHT(IF(F12="", IF($B$4="", 1140101, $B$4), F12),2))+1),0)=EOMONTH((IF($B$5="歸買方",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$B$4),2))+1)-1)-(DATE(1911+LEFT(IF(F12="", IF($B$4="", 1140101, $B$4), F12),3),MID(IF(F12="", IF($B$4="", 1140101, $B$4), F12),4,2),RIGHT(IF(F12="", IF($B$4="", 1140101, $B$4), F12),2))+1)+1)/DAY(EOMONTH((DATE(1911+LEFT(IF(F12="", IF($B$4="", 1140101, $B$4), F12),3),MID(IF(F12="", IF($B$4="", 1140101, $B$4), F12),4,2),RIGHT(IF(F12="", IF($B$4="", 1140101, $B$4), F12),2))+1),0))), (((EOMONTH((DATE(1911+LEFT(IF(F12="", IF($B$4="", 1140101, $B$4), F12),3),MID(IF(F12="", IF($B$4="", 1140101, $B$4), F12),4,2),RIGHT(IF(F12="", IF($B$4="", 1140101, $B$4), F12),2))+1),0)-(DATE(1911+LEFT(IF(F12="", IF($B$4="", 1140101, $B$4), F12),3),MID(IF(F12="", IF($B$4="", 1140101, $B$4), F12),4,2),RIGHT(IF(F12="", IF($B$4="", 1140101, $B$4), F12),2))+1)+1)/DAY(EOMONTH((DATE(1911+LEFT(IF(F12="", IF($B$4="", 1140101, $B$4), F12),3),MID(IF(F12="", IF($B$4="", 1140101, $B$4), F12),4,2),RIGHT(IF(F12="", IF($B$4="", 1140101, $B$4), F12),2))+1),0)))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$B$4),2))+1)-1))-YEAR((DATE(1911+LEFT(IF(F12="", IF($B$4="", 1140101, $B$4), F12),3),MID(IF(F12="", IF($B$4="", 1140101, $B$4), F12),4,2),RIGHT(IF(F12="", IF($B$4="", 1140101, $B$4), F12),2))+1)))*12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$B$4),2))+1)-1))-MONTH((DATE(1911+LEFT(IF(F12="", IF($B$4="", 1140101, $B$4), F12),3),MID(IF(F12="", IF($B$4="", 1140101, $B$4), F12),4,2),RIGHT(IF(F12="", IF($B$4="", 1140101, $B$4), F12),2))+1)) - 1))), 0), 0), "")</f>
        <v/>
      </c>
    </row>
    <row r="13" ht="35" customHeight="1">
      <c r="A13" s="18" t="inlineStr"/>
      <c r="B13" s="19" t="inlineStr"/>
      <c r="C13" s="19" t="inlineStr"/>
      <c r="D13" s="20" t="inlineStr"/>
      <c r="E13" s="20" t="inlineStr"/>
      <c r="F13" s="21" t="inlineStr"/>
      <c r="G13" s="22">
        <f>IF(AND(D13&lt;&gt;"", F13&lt;&gt;""), IF((DATE(1911+LEFT(IF(F13="", IF($B$4="", 1140101, $B$4), F13),3),MID(IF(F13="", IF($B$4="", 1140101, $B$4), F13),4,2),RIGHT(IF(F13="", IF($B$4="", 1140101, $B$4), F13),2))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$B$4),2))+1),0)=EOMONTH(DATE(1911+LEFT(IF(F13="", IF($B$4="", 1140101, $B$4), F13),3),MID(IF(F13="", IF($B$4="", 1140101, $B$4), F13),4,2),RIGHT(IF(F13="", IF($B$4="", 1140101, $B$4), F13),2)),0)),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TEXT(DATE(1911+LEFT(IF(F13="", IF($B$4="", 1140101, $B$4), F13),3),MID(IF(F13="", IF($B$4="", 1140101, $B$4), F13),4,2),RIGHT(IF(F13="", IF($B$4="", 1140101, $B$4), F13),2)), "mm/dd") &amp; " 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D13 &amp; "×("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TEXT(DATE(1911+LEFT(IF(F13="", IF($B$4="", 1140101, $B$4), F13),3),MID(IF(F13="", IF($B$4="", 1140101, $B$4), F13),4,2),RIGHT(IF(F13="", IF($B$4="", 1140101, $B$4), F13),2)), "mm/dd") &amp; " (" &amp; 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IF(((YEAR(DATE(1911+LEFT(IF(F13="", IF($B$4="", 1140101, $B$4), F13),3),MID(IF(F13="", IF($B$4="", 1140101, $B$4), F13),4,2),RIGHT(IF(F13="", IF($B$4="", 1140101, $B$4), F13),2)))-YEAR(IF($B$5="歸買方",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MONTH(DATE(1911+LEFT(IF(F13="", IF($B$4="", 1140101, $B$4), F13),3),MID(IF(F13="", IF($B$4="", 1140101, $B$4), F13),4,2),RIGHT(IF(F13="", IF($B$4="", 1140101, $B$4), F13),2)))-MONTH(IF($B$5="歸買方",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D13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D13 &amp; "×(" &amp; DAY(DATE(1911+LEFT(IF(F13="", IF($B$4="", 1140101, $B$4), F13),3),MID(IF(F13="", IF($B$4="", 1140101, $B$4), F13),4,2),RIGHT(IF(F13="", IF($B$4="", 1140101, $B$4), F13),2))) &amp; "/" &amp; DAY(EOMONTH(DATE(1911+LEFT(IF(F13="", IF($B$4="", 1140101, $B$4), F13),3),MID(IF(F13="", IF($B$4="", 1140101, $B$4), F13),4,2),RIGHT(IF(F13="", IF($B$4="", 1140101, $B$4), F13),2)),0)) &amp; ")"  &amp; " +...",  "$" &amp; D13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D13 &amp; "×(" &amp; DAY(DATE(1911+LEFT(IF(F13="", IF($B$4="", 1140101, $B$4), F13),3),MID(IF(F13="", IF($B$4="", 1140101, $B$4), F13),4,2),RIGHT(IF(F13="", IF($B$4="", 1140101, $B$4), F13),2))) &amp; "/" &amp; DAY(EOMONTH(DATE(1911+LEFT(IF(F13="", IF($B$4="", 1140101, $B$4), F13),3),MID(IF(F13="", IF($B$4="", 1140101, $B$4), F13),4,2),RIGHT(IF(F13="", IF($B$4="", 1140101, $B$4), F13),2)),0)) &amp; ")" )  ), ""), "")</f>
        <v/>
      </c>
      <c r="H13" s="23">
        <f>IF(AND(D13&lt;&gt;"", F13&lt;&gt;""), IF((DATE(1911+LEFT(IF(F13="", IF($B$4="", 1140101, $B$4), F13),3),MID(IF(F13="", IF($B$4="", 1140101, $B$4), F13),4,2),RIGHT(IF(F13="", IF($B$4="", 1140101, $B$4), F13),2))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ROUND(D13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$B$4),2))+1),0)=EOMONTH(DATE(1911+LEFT(IF(F13="", IF($B$4="", 1140101, $B$4), F13),3),MID(IF(F13="", IF($B$4="", 1140101, $B$4), F13),4,2),RIGHT(IF(F13="", IF($B$4="", 1140101, $B$4), F13),2)),0)), ((DATE(1911+LEFT(IF(F13="", IF($B$4="", 1140101, $B$4), F13),3),MID(IF(F13="", IF($B$4="", 1140101, $B$4), F13),4,2),RIGHT(IF(F13="", IF($B$4="", 1140101, $B$4), F13),2))-IF($B$5="歸買方",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(DAY(DATE(1911+LEFT(IF(F13="", IF($B$4="", 1140101, $B$4), F13),3),MID(IF(F13="", IF($B$4="", 1140101, $B$4), F13),4,2),RIGHT(IF(F13="", IF($B$4="", 1140101, $B$4), F13),2)))/DAY(EOMONTH(DATE(1911+LEFT(IF(F13="", IF($B$4="", 1140101, $B$4), F13),3),MID(IF(F13="", IF($B$4="", 1140101, $B$4), F13),4,2),RIGHT(IF(F13="", IF($B$4="", 1140101, $B$4), F13),2)),0))) + MAX(0, (YEAR(DATE(1911+LEFT(IF(F13="", IF($B$4="", 1140101, $B$4), F13),3),MID(IF(F13="", IF($B$4="", 1140101, $B$4), F13),4,2),RIGHT(IF(F13="", IF($B$4="", 1140101, $B$4), F13),2)))-YEAR(IF($B$5="歸買方",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MONTH(DATE(1911+LEFT(IF(F13="", IF($B$4="", 1140101, $B$4), F13),3),MID(IF(F13="", IF($B$4="", 1140101, $B$4), F13),4,2),RIGHT(IF(F13="", IF($B$4="", 1140101, $B$4), F13),2)))-MONTH(IF($B$5="歸買方",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3" s="24">
        <f>IF(AND(D13&lt;&gt;"", F13&lt;&gt;""),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DATE(1911+LEFT(IF(F13="", IF($B$4="", 1140101, $B$4), F13),3),MID(IF(F13="", IF($B$4="", 1140101, $B$4), F13),4,2),RIGHT(IF(F13="", IF($B$4="", 1140101, $B$4), F13),2)) + 1), IF((EOMONTH((DATE(1911+LEFT(IF(F13="", IF($B$4="", 1140101, $B$4), F13),3),MID(IF(F13="", IF($B$4="", 1140101, $B$4), F13),4,2),RIGHT(IF(F13="", IF($B$4="", 1140101, $B$4), F13),2))+1),0)=EOMONTH((IF($B$5="歸買方",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TEXT((DATE(1911+LEFT(IF(F13="", IF($B$4="", 1140101, $B$4), F13),3),MID(IF(F13="", IF($B$4="", 1140101, $B$4), F13),4,2),RIGHT(IF(F13="", IF($B$4="", 1140101, $B$4), F13),2))+1),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"天)" &amp; CHAR(10) &amp;  "$" &amp; D13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")"  ,  TEXT((DATE(1911+LEFT(IF(F13="", IF($B$4="", 1140101, $B$4), F13),3),MID(IF(F13="", IF($B$4="", 1140101, $B$4), F13),4,2),RIGHT(IF(F13="", IF($B$4="", 1140101, $B$4), F13),2))+1),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$B$4),2))+1)-1))-YEAR((DATE(1911+LEFT(IF(F13="", IF($B$4="", 1140101, $B$4), F13),3),MID(IF(F13="", IF($B$4="", 1140101, $B$4), F13),4,2),RIGHT(IF(F13="", IF($B$4="", 1140101, $B$4), F13),2))+1)))*12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$B$4),2))+1)-1))-MONTH((DATE(1911+LEFT(IF(F13="", IF($B$4="", 1140101, $B$4), F13),3),MID(IF(F13="", IF($B$4="", 1140101, $B$4), F13),4,2),RIGHT(IF(F13="", IF($B$4="", 1140101, $B$4), F13),2))+1)) &gt; 1),  "$" &amp; D13 &amp; "×(" &amp; 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 + $" &amp; D13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D13 &amp; "×(" &amp; 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 &amp; "/" &amp; DAY(EOMONTH((DATE(1911+LEFT(IF(F13="", IF($B$4="", 1140101, $B$4), F13),3),MID(IF(F13="", IF($B$4="", 1140101, $B$4), F13),4,2),RIGHT(IF(F13="", IF($B$4="", 1140101, $B$4), F13),2))+1),0)) &amp; ") + $" &amp; D13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3" s="25">
        <f>IF(AND(D13&lt;&gt;"", F13&lt;&gt;""),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DATE(1911+LEFT(IF(F13="", IF($B$4="", 1140101, $B$4), F13),3),MID(IF(F13="", IF($B$4="", 1140101, $B$4), F13),4,2),RIGHT(IF(F13="", IF($B$4="", 1140101, $B$4), F13),2)) + 1), ROUND(D13 * IF((EOMONTH((DATE(1911+LEFT(IF(F13="", IF($B$4="", 1140101, $B$4), F13),3),MID(IF(F13="", IF($B$4="", 1140101, $B$4), F13),4,2),RIGHT(IF(F13="", IF($B$4="", 1140101, $B$4), F13),2))+1),0)=EOMONTH((IF($B$5="歸買方",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$B$4),2))+1)-1)-(DATE(1911+LEFT(IF(F13="", IF($B$4="", 1140101, $B$4), F13),3),MID(IF(F13="", IF($B$4="", 1140101, $B$4), F13),4,2),RIGHT(IF(F13="", IF($B$4="", 1140101, $B$4), F13),2))+1)+1)/DAY(EOMONTH((DATE(1911+LEFT(IF(F13="", IF($B$4="", 1140101, $B$4), F13),3),MID(IF(F13="", IF($B$4="", 1140101, $B$4), F13),4,2),RIGHT(IF(F13="", IF($B$4="", 1140101, $B$4), F13),2))+1),0))), (((EOMONTH((DATE(1911+LEFT(IF(F13="", IF($B$4="", 1140101, $B$4), F13),3),MID(IF(F13="", IF($B$4="", 1140101, $B$4), F13),4,2),RIGHT(IF(F13="", IF($B$4="", 1140101, $B$4), F13),2))+1),0)-(DATE(1911+LEFT(IF(F13="", IF($B$4="", 1140101, $B$4), F13),3),MID(IF(F13="", IF($B$4="", 1140101, $B$4), F13),4,2),RIGHT(IF(F13="", IF($B$4="", 1140101, $B$4), F13),2))+1)+1)/DAY(EOMONTH((DATE(1911+LEFT(IF(F13="", IF($B$4="", 1140101, $B$4), F13),3),MID(IF(F13="", IF($B$4="", 1140101, $B$4), F13),4,2),RIGHT(IF(F13="", IF($B$4="", 1140101, $B$4), F13),2))+1),0)))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$B$4),2))+1)-1))-YEAR((DATE(1911+LEFT(IF(F13="", IF($B$4="", 1140101, $B$4), F13),3),MID(IF(F13="", IF($B$4="", 1140101, $B$4), F13),4,2),RIGHT(IF(F13="", IF($B$4="", 1140101, $B$4), F13),2))+1)))*12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$B$4),2))+1)-1))-MONTH((DATE(1911+LEFT(IF(F13="", IF($B$4="", 1140101, $B$4), F13),3),MID(IF(F13="", IF($B$4="", 1140101, $B$4), F13),4,2),RIGHT(IF(F13="", IF($B$4="", 1140101, $B$4), F13),2))+1)) - 1))), 0), 0), "")</f>
        <v/>
      </c>
    </row>
    <row r="14" ht="35" customHeight="1">
      <c r="A14" s="18" t="inlineStr"/>
      <c r="B14" s="19" t="inlineStr"/>
      <c r="C14" s="19" t="inlineStr"/>
      <c r="D14" s="20" t="inlineStr"/>
      <c r="E14" s="20" t="inlineStr"/>
      <c r="F14" s="21" t="inlineStr"/>
      <c r="G14" s="22">
        <f>IF(AND(D14&lt;&gt;"", F14&lt;&gt;""), IF((DATE(1911+LEFT(IF(F14="", IF($B$4="", 1140101, $B$4), F14),3),MID(IF(F14="", IF($B$4="", 1140101, $B$4), F14),4,2),RIGHT(IF(F14="", IF($B$4="", 1140101, $B$4), F14),2))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$B$4),2))+1),0)=EOMONTH(DATE(1911+LEFT(IF(F14="", IF($B$4="", 1140101, $B$4), F14),3),MID(IF(F14="", IF($B$4="", 1140101, $B$4), F14),4,2),RIGHT(IF(F14="", IF($B$4="", 1140101, $B$4), F14),2)),0)),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TEXT(DATE(1911+LEFT(IF(F14="", IF($B$4="", 1140101, $B$4), F14),3),MID(IF(F14="", IF($B$4="", 1140101, $B$4), F14),4,2),RIGHT(IF(F14="", IF($B$4="", 1140101, $B$4), F14),2)), "mm/dd") &amp; " 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D14 &amp; "×("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TEXT(DATE(1911+LEFT(IF(F14="", IF($B$4="", 1140101, $B$4), F14),3),MID(IF(F14="", IF($B$4="", 1140101, $B$4), F14),4,2),RIGHT(IF(F14="", IF($B$4="", 1140101, $B$4), F14),2)), "mm/dd") &amp; " (" &amp; 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IF(((YEAR(DATE(1911+LEFT(IF(F14="", IF($B$4="", 1140101, $B$4), F14),3),MID(IF(F14="", IF($B$4="", 1140101, $B$4), F14),4,2),RIGHT(IF(F14="", IF($B$4="", 1140101, $B$4), F14),2)))-YEAR(IF($B$5="歸買方",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MONTH(DATE(1911+LEFT(IF(F14="", IF($B$4="", 1140101, $B$4), F14),3),MID(IF(F14="", IF($B$4="", 1140101, $B$4), F14),4,2),RIGHT(IF(F14="", IF($B$4="", 1140101, $B$4), F14),2)))-MONTH(IF($B$5="歸買方",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D14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D14 &amp; "×(" &amp; DAY(DATE(1911+LEFT(IF(F14="", IF($B$4="", 1140101, $B$4), F14),3),MID(IF(F14="", IF($B$4="", 1140101, $B$4), F14),4,2),RIGHT(IF(F14="", IF($B$4="", 1140101, $B$4), F14),2))) &amp; "/" &amp; DAY(EOMONTH(DATE(1911+LEFT(IF(F14="", IF($B$4="", 1140101, $B$4), F14),3),MID(IF(F14="", IF($B$4="", 1140101, $B$4), F14),4,2),RIGHT(IF(F14="", IF($B$4="", 1140101, $B$4), F14),2)),0)) &amp; ")"  &amp; " +...",  "$" &amp; D14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D14 &amp; "×(" &amp; DAY(DATE(1911+LEFT(IF(F14="", IF($B$4="", 1140101, $B$4), F14),3),MID(IF(F14="", IF($B$4="", 1140101, $B$4), F14),4,2),RIGHT(IF(F14="", IF($B$4="", 1140101, $B$4), F14),2))) &amp; "/" &amp; DAY(EOMONTH(DATE(1911+LEFT(IF(F14="", IF($B$4="", 1140101, $B$4), F14),3),MID(IF(F14="", IF($B$4="", 1140101, $B$4), F14),4,2),RIGHT(IF(F14="", IF($B$4="", 1140101, $B$4), F14),2)),0)) &amp; ")" )  ), ""), "")</f>
        <v/>
      </c>
      <c r="H14" s="23">
        <f>IF(AND(D14&lt;&gt;"", F14&lt;&gt;""), IF((DATE(1911+LEFT(IF(F14="", IF($B$4="", 1140101, $B$4), F14),3),MID(IF(F14="", IF($B$4="", 1140101, $B$4), F14),4,2),RIGHT(IF(F14="", IF($B$4="", 1140101, $B$4), F14),2))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ROUND(D14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$B$4),2))+1),0)=EOMONTH(DATE(1911+LEFT(IF(F14="", IF($B$4="", 1140101, $B$4), F14),3),MID(IF(F14="", IF($B$4="", 1140101, $B$4), F14),4,2),RIGHT(IF(F14="", IF($B$4="", 1140101, $B$4), F14),2)),0)), ((DATE(1911+LEFT(IF(F14="", IF($B$4="", 1140101, $B$4), F14),3),MID(IF(F14="", IF($B$4="", 1140101, $B$4), F14),4,2),RIGHT(IF(F14="", IF($B$4="", 1140101, $B$4), F14),2))-IF($B$5="歸買方",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(DAY(DATE(1911+LEFT(IF(F14="", IF($B$4="", 1140101, $B$4), F14),3),MID(IF(F14="", IF($B$4="", 1140101, $B$4), F14),4,2),RIGHT(IF(F14="", IF($B$4="", 1140101, $B$4), F14),2)))/DAY(EOMONTH(DATE(1911+LEFT(IF(F14="", IF($B$4="", 1140101, $B$4), F14),3),MID(IF(F14="", IF($B$4="", 1140101, $B$4), F14),4,2),RIGHT(IF(F14="", IF($B$4="", 1140101, $B$4), F14),2)),0))) + MAX(0, (YEAR(DATE(1911+LEFT(IF(F14="", IF($B$4="", 1140101, $B$4), F14),3),MID(IF(F14="", IF($B$4="", 1140101, $B$4), F14),4,2),RIGHT(IF(F14="", IF($B$4="", 1140101, $B$4), F14),2)))-YEAR(IF($B$5="歸買方",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MONTH(DATE(1911+LEFT(IF(F14="", IF($B$4="", 1140101, $B$4), F14),3),MID(IF(F14="", IF($B$4="", 1140101, $B$4), F14),4,2),RIGHT(IF(F14="", IF($B$4="", 1140101, $B$4), F14),2)))-MONTH(IF($B$5="歸買方",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4" s="24">
        <f>IF(AND(D14&lt;&gt;"", F14&lt;&gt;""),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DATE(1911+LEFT(IF(F14="", IF($B$4="", 1140101, $B$4), F14),3),MID(IF(F14="", IF($B$4="", 1140101, $B$4), F14),4,2),RIGHT(IF(F14="", IF($B$4="", 1140101, $B$4), F14),2)) + 1), IF((EOMONTH((DATE(1911+LEFT(IF(F14="", IF($B$4="", 1140101, $B$4), F14),3),MID(IF(F14="", IF($B$4="", 1140101, $B$4), F14),4,2),RIGHT(IF(F14="", IF($B$4="", 1140101, $B$4), F14),2))+1),0)=EOMONTH((IF($B$5="歸買方",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TEXT((DATE(1911+LEFT(IF(F14="", IF($B$4="", 1140101, $B$4), F14),3),MID(IF(F14="", IF($B$4="", 1140101, $B$4), F14),4,2),RIGHT(IF(F14="", IF($B$4="", 1140101, $B$4), F14),2))+1),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"天)" &amp; CHAR(10) &amp;  "$" &amp; D14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")"  ,  TEXT((DATE(1911+LEFT(IF(F14="", IF($B$4="", 1140101, $B$4), F14),3),MID(IF(F14="", IF($B$4="", 1140101, $B$4), F14),4,2),RIGHT(IF(F14="", IF($B$4="", 1140101, $B$4), F14),2))+1),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$B$4),2))+1)-1))-YEAR((DATE(1911+LEFT(IF(F14="", IF($B$4="", 1140101, $B$4), F14),3),MID(IF(F14="", IF($B$4="", 1140101, $B$4), F14),4,2),RIGHT(IF(F14="", IF($B$4="", 1140101, $B$4), F14),2))+1)))*12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$B$4),2))+1)-1))-MONTH((DATE(1911+LEFT(IF(F14="", IF($B$4="", 1140101, $B$4), F14),3),MID(IF(F14="", IF($B$4="", 1140101, $B$4), F14),4,2),RIGHT(IF(F14="", IF($B$4="", 1140101, $B$4), F14),2))+1)) &gt; 1),  "$" &amp; D14 &amp; "×(" &amp; 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 + $" &amp; D14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D14 &amp; "×(" &amp; 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 &amp; "/" &amp; DAY(EOMONTH((DATE(1911+LEFT(IF(F14="", IF($B$4="", 1140101, $B$4), F14),3),MID(IF(F14="", IF($B$4="", 1140101, $B$4), F14),4,2),RIGHT(IF(F14="", IF($B$4="", 1140101, $B$4), F14),2))+1),0)) &amp; ") + $" &amp; D14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4" s="25">
        <f>IF(AND(D14&lt;&gt;"", F14&lt;&gt;""),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DATE(1911+LEFT(IF(F14="", IF($B$4="", 1140101, $B$4), F14),3),MID(IF(F14="", IF($B$4="", 1140101, $B$4), F14),4,2),RIGHT(IF(F14="", IF($B$4="", 1140101, $B$4), F14),2)) + 1), ROUND(D14 * IF((EOMONTH((DATE(1911+LEFT(IF(F14="", IF($B$4="", 1140101, $B$4), F14),3),MID(IF(F14="", IF($B$4="", 1140101, $B$4), F14),4,2),RIGHT(IF(F14="", IF($B$4="", 1140101, $B$4), F14),2))+1),0)=EOMONTH((IF($B$5="歸買方",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$B$4),2))+1)-1)-(DATE(1911+LEFT(IF(F14="", IF($B$4="", 1140101, $B$4), F14),3),MID(IF(F14="", IF($B$4="", 1140101, $B$4), F14),4,2),RIGHT(IF(F14="", IF($B$4="", 1140101, $B$4), F14),2))+1)+1)/DAY(EOMONTH((DATE(1911+LEFT(IF(F14="", IF($B$4="", 1140101, $B$4), F14),3),MID(IF(F14="", IF($B$4="", 1140101, $B$4), F14),4,2),RIGHT(IF(F14="", IF($B$4="", 1140101, $B$4), F14),2))+1),0))), (((EOMONTH((DATE(1911+LEFT(IF(F14="", IF($B$4="", 1140101, $B$4), F14),3),MID(IF(F14="", IF($B$4="", 1140101, $B$4), F14),4,2),RIGHT(IF(F14="", IF($B$4="", 1140101, $B$4), F14),2))+1),0)-(DATE(1911+LEFT(IF(F14="", IF($B$4="", 1140101, $B$4), F14),3),MID(IF(F14="", IF($B$4="", 1140101, $B$4), F14),4,2),RIGHT(IF(F14="", IF($B$4="", 1140101, $B$4), F14),2))+1)+1)/DAY(EOMONTH((DATE(1911+LEFT(IF(F14="", IF($B$4="", 1140101, $B$4), F14),3),MID(IF(F14="", IF($B$4="", 1140101, $B$4), F14),4,2),RIGHT(IF(F14="", IF($B$4="", 1140101, $B$4), F14),2))+1),0)))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$B$4),2))+1)-1))-YEAR((DATE(1911+LEFT(IF(F14="", IF($B$4="", 1140101, $B$4), F14),3),MID(IF(F14="", IF($B$4="", 1140101, $B$4), F14),4,2),RIGHT(IF(F14="", IF($B$4="", 1140101, $B$4), F14),2))+1)))*12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$B$4),2))+1)-1))-MONTH((DATE(1911+LEFT(IF(F14="", IF($B$4="", 1140101, $B$4), F14),3),MID(IF(F14="", IF($B$4="", 1140101, $B$4), F14),4,2),RIGHT(IF(F14="", IF($B$4="", 1140101, $B$4), F14),2))+1)) - 1))), 0), 0), "")</f>
        <v/>
      </c>
    </row>
    <row r="15" ht="35" customHeight="1">
      <c r="A15" s="18" t="inlineStr"/>
      <c r="B15" s="19" t="inlineStr"/>
      <c r="C15" s="19" t="inlineStr"/>
      <c r="D15" s="20" t="inlineStr"/>
      <c r="E15" s="20" t="inlineStr"/>
      <c r="F15" s="21" t="inlineStr"/>
      <c r="G15" s="22">
        <f>IF(AND(D15&lt;&gt;"", F15&lt;&gt;""), IF((DATE(1911+LEFT(IF(F15="", IF($B$4="", 1140101, $B$4), F15),3),MID(IF(F15="", IF($B$4="", 1140101, $B$4), F15),4,2),RIGHT(IF(F15="", IF($B$4="", 1140101, $B$4), F15),2))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$B$4),2))+1),0)=EOMONTH(DATE(1911+LEFT(IF(F15="", IF($B$4="", 1140101, $B$4), F15),3),MID(IF(F15="", IF($B$4="", 1140101, $B$4), F15),4,2),RIGHT(IF(F15="", IF($B$4="", 1140101, $B$4), F15),2)),0)),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TEXT(DATE(1911+LEFT(IF(F15="", IF($B$4="", 1140101, $B$4), F15),3),MID(IF(F15="", IF($B$4="", 1140101, $B$4), F15),4,2),RIGHT(IF(F15="", IF($B$4="", 1140101, $B$4), F15),2)), "mm/dd") &amp; " 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D15 &amp; "×("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TEXT(DATE(1911+LEFT(IF(F15="", IF($B$4="", 1140101, $B$4), F15),3),MID(IF(F15="", IF($B$4="", 1140101, $B$4), F15),4,2),RIGHT(IF(F15="", IF($B$4="", 1140101, $B$4), F15),2)), "mm/dd") &amp; " (" &amp; 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IF(((YEAR(DATE(1911+LEFT(IF(F15="", IF($B$4="", 1140101, $B$4), F15),3),MID(IF(F15="", IF($B$4="", 1140101, $B$4), F15),4,2),RIGHT(IF(F15="", IF($B$4="", 1140101, $B$4), F15),2)))-YEAR(IF($B$5="歸買方",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MONTH(DATE(1911+LEFT(IF(F15="", IF($B$4="", 1140101, $B$4), F15),3),MID(IF(F15="", IF($B$4="", 1140101, $B$4), F15),4,2),RIGHT(IF(F15="", IF($B$4="", 1140101, $B$4), F15),2)))-MONTH(IF($B$5="歸買方",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D15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D15 &amp; "×(" &amp; DAY(DATE(1911+LEFT(IF(F15="", IF($B$4="", 1140101, $B$4), F15),3),MID(IF(F15="", IF($B$4="", 1140101, $B$4), F15),4,2),RIGHT(IF(F15="", IF($B$4="", 1140101, $B$4), F15),2))) &amp; "/" &amp; DAY(EOMONTH(DATE(1911+LEFT(IF(F15="", IF($B$4="", 1140101, $B$4), F15),3),MID(IF(F15="", IF($B$4="", 1140101, $B$4), F15),4,2),RIGHT(IF(F15="", IF($B$4="", 1140101, $B$4), F15),2)),0)) &amp; ")"  &amp; " +...",  "$" &amp; D15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D15 &amp; "×(" &amp; DAY(DATE(1911+LEFT(IF(F15="", IF($B$4="", 1140101, $B$4), F15),3),MID(IF(F15="", IF($B$4="", 1140101, $B$4), F15),4,2),RIGHT(IF(F15="", IF($B$4="", 1140101, $B$4), F15),2))) &amp; "/" &amp; DAY(EOMONTH(DATE(1911+LEFT(IF(F15="", IF($B$4="", 1140101, $B$4), F15),3),MID(IF(F15="", IF($B$4="", 1140101, $B$4), F15),4,2),RIGHT(IF(F15="", IF($B$4="", 1140101, $B$4), F15),2)),0)) &amp; ")" )  ), ""), "")</f>
        <v/>
      </c>
      <c r="H15" s="23">
        <f>IF(AND(D15&lt;&gt;"", F15&lt;&gt;""), IF((DATE(1911+LEFT(IF(F15="", IF($B$4="", 1140101, $B$4), F15),3),MID(IF(F15="", IF($B$4="", 1140101, $B$4), F15),4,2),RIGHT(IF(F15="", IF($B$4="", 1140101, $B$4), F15),2))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ROUND(D15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$B$4),2))+1),0)=EOMONTH(DATE(1911+LEFT(IF(F15="", IF($B$4="", 1140101, $B$4), F15),3),MID(IF(F15="", IF($B$4="", 1140101, $B$4), F15),4,2),RIGHT(IF(F15="", IF($B$4="", 1140101, $B$4), F15),2)),0)), ((DATE(1911+LEFT(IF(F15="", IF($B$4="", 1140101, $B$4), F15),3),MID(IF(F15="", IF($B$4="", 1140101, $B$4), F15),4,2),RIGHT(IF(F15="", IF($B$4="", 1140101, $B$4), F15),2))-IF($B$5="歸買方",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(DAY(DATE(1911+LEFT(IF(F15="", IF($B$4="", 1140101, $B$4), F15),3),MID(IF(F15="", IF($B$4="", 1140101, $B$4), F15),4,2),RIGHT(IF(F15="", IF($B$4="", 1140101, $B$4), F15),2)))/DAY(EOMONTH(DATE(1911+LEFT(IF(F15="", IF($B$4="", 1140101, $B$4), F15),3),MID(IF(F15="", IF($B$4="", 1140101, $B$4), F15),4,2),RIGHT(IF(F15="", IF($B$4="", 1140101, $B$4), F15),2)),0))) + MAX(0, (YEAR(DATE(1911+LEFT(IF(F15="", IF($B$4="", 1140101, $B$4), F15),3),MID(IF(F15="", IF($B$4="", 1140101, $B$4), F15),4,2),RIGHT(IF(F15="", IF($B$4="", 1140101, $B$4), F15),2)))-YEAR(IF($B$5="歸買方",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MONTH(DATE(1911+LEFT(IF(F15="", IF($B$4="", 1140101, $B$4), F15),3),MID(IF(F15="", IF($B$4="", 1140101, $B$4), F15),4,2),RIGHT(IF(F15="", IF($B$4="", 1140101, $B$4), F15),2)))-MONTH(IF($B$5="歸買方",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5" s="24">
        <f>IF(AND(D15&lt;&gt;"", F15&lt;&gt;""),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DATE(1911+LEFT(IF(F15="", IF($B$4="", 1140101, $B$4), F15),3),MID(IF(F15="", IF($B$4="", 1140101, $B$4), F15),4,2),RIGHT(IF(F15="", IF($B$4="", 1140101, $B$4), F15),2)) + 1), IF((EOMONTH((DATE(1911+LEFT(IF(F15="", IF($B$4="", 1140101, $B$4), F15),3),MID(IF(F15="", IF($B$4="", 1140101, $B$4), F15),4,2),RIGHT(IF(F15="", IF($B$4="", 1140101, $B$4), F15),2))+1),0)=EOMONTH((IF($B$5="歸買方",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TEXT((DATE(1911+LEFT(IF(F15="", IF($B$4="", 1140101, $B$4), F15),3),MID(IF(F15="", IF($B$4="", 1140101, $B$4), F15),4,2),RIGHT(IF(F15="", IF($B$4="", 1140101, $B$4), F15),2))+1),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"天)" &amp; CHAR(10) &amp;  "$" &amp; D15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")"  ,  TEXT((DATE(1911+LEFT(IF(F15="", IF($B$4="", 1140101, $B$4), F15),3),MID(IF(F15="", IF($B$4="", 1140101, $B$4), F15),4,2),RIGHT(IF(F15="", IF($B$4="", 1140101, $B$4), F15),2))+1),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$B$4),2))+1)-1))-YEAR((DATE(1911+LEFT(IF(F15="", IF($B$4="", 1140101, $B$4), F15),3),MID(IF(F15="", IF($B$4="", 1140101, $B$4), F15),4,2),RIGHT(IF(F15="", IF($B$4="", 1140101, $B$4), F15),2))+1)))*12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$B$4),2))+1)-1))-MONTH((DATE(1911+LEFT(IF(F15="", IF($B$4="", 1140101, $B$4), F15),3),MID(IF(F15="", IF($B$4="", 1140101, $B$4), F15),4,2),RIGHT(IF(F15="", IF($B$4="", 1140101, $B$4), F15),2))+1)) &gt; 1),  "$" &amp; D15 &amp; "×(" &amp; 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 + $" &amp; D15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D15 &amp; "×(" &amp; 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 &amp; "/" &amp; DAY(EOMONTH((DATE(1911+LEFT(IF(F15="", IF($B$4="", 1140101, $B$4), F15),3),MID(IF(F15="", IF($B$4="", 1140101, $B$4), F15),4,2),RIGHT(IF(F15="", IF($B$4="", 1140101, $B$4), F15),2))+1),0)) &amp; ") + $" &amp; D15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5" s="25">
        <f>IF(AND(D15&lt;&gt;"", F15&lt;&gt;""),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DATE(1911+LEFT(IF(F15="", IF($B$4="", 1140101, $B$4), F15),3),MID(IF(F15="", IF($B$4="", 1140101, $B$4), F15),4,2),RIGHT(IF(F15="", IF($B$4="", 1140101, $B$4), F15),2)) + 1), ROUND(D15 * IF((EOMONTH((DATE(1911+LEFT(IF(F15="", IF($B$4="", 1140101, $B$4), F15),3),MID(IF(F15="", IF($B$4="", 1140101, $B$4), F15),4,2),RIGHT(IF(F15="", IF($B$4="", 1140101, $B$4), F15),2))+1),0)=EOMONTH((IF($B$5="歸買方",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$B$4),2))+1)-1)-(DATE(1911+LEFT(IF(F15="", IF($B$4="", 1140101, $B$4), F15),3),MID(IF(F15="", IF($B$4="", 1140101, $B$4), F15),4,2),RIGHT(IF(F15="", IF($B$4="", 1140101, $B$4), F15),2))+1)+1)/DAY(EOMONTH((DATE(1911+LEFT(IF(F15="", IF($B$4="", 1140101, $B$4), F15),3),MID(IF(F15="", IF($B$4="", 1140101, $B$4), F15),4,2),RIGHT(IF(F15="", IF($B$4="", 1140101, $B$4), F15),2))+1),0))), (((EOMONTH((DATE(1911+LEFT(IF(F15="", IF($B$4="", 1140101, $B$4), F15),3),MID(IF(F15="", IF($B$4="", 1140101, $B$4), F15),4,2),RIGHT(IF(F15="", IF($B$4="", 1140101, $B$4), F15),2))+1),0)-(DATE(1911+LEFT(IF(F15="", IF($B$4="", 1140101, $B$4), F15),3),MID(IF(F15="", IF($B$4="", 1140101, $B$4), F15),4,2),RIGHT(IF(F15="", IF($B$4="", 1140101, $B$4), F15),2))+1)+1)/DAY(EOMONTH((DATE(1911+LEFT(IF(F15="", IF($B$4="", 1140101, $B$4), F15),3),MID(IF(F15="", IF($B$4="", 1140101, $B$4), F15),4,2),RIGHT(IF(F15="", IF($B$4="", 1140101, $B$4), F15),2))+1),0)))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$B$4),2))+1)-1))-YEAR((DATE(1911+LEFT(IF(F15="", IF($B$4="", 1140101, $B$4), F15),3),MID(IF(F15="", IF($B$4="", 1140101, $B$4), F15),4,2),RIGHT(IF(F15="", IF($B$4="", 1140101, $B$4), F15),2))+1)))*12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$B$4),2))+1)-1))-MONTH((DATE(1911+LEFT(IF(F15="", IF($B$4="", 1140101, $B$4), F15),3),MID(IF(F15="", IF($B$4="", 1140101, $B$4), F15),4,2),RIGHT(IF(F15="", IF($B$4="", 1140101, $B$4), F15),2))+1)) - 1))), 0), 0), "")</f>
        <v/>
      </c>
    </row>
    <row r="16" ht="35" customHeight="1">
      <c r="A16" s="18" t="inlineStr"/>
      <c r="B16" s="19" t="inlineStr"/>
      <c r="C16" s="19" t="inlineStr"/>
      <c r="D16" s="20" t="inlineStr"/>
      <c r="E16" s="20" t="inlineStr"/>
      <c r="F16" s="21" t="inlineStr"/>
      <c r="G16" s="22">
        <f>IF(AND(D16&lt;&gt;"", F16&lt;&gt;""), IF((DATE(1911+LEFT(IF(F16="", IF($B$4="", 1140101, $B$4), F16),3),MID(IF(F16="", IF($B$4="", 1140101, $B$4), F16),4,2),RIGHT(IF(F16="", IF($B$4="", 1140101, $B$4), F16),2))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$B$4),2))+1),0)=EOMONTH(DATE(1911+LEFT(IF(F16="", IF($B$4="", 1140101, $B$4), F16),3),MID(IF(F16="", IF($B$4="", 1140101, $B$4), F16),4,2),RIGHT(IF(F16="", IF($B$4="", 1140101, $B$4), F16),2)),0)),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TEXT(DATE(1911+LEFT(IF(F16="", IF($B$4="", 1140101, $B$4), F16),3),MID(IF(F16="", IF($B$4="", 1140101, $B$4), F16),4,2),RIGHT(IF(F16="", IF($B$4="", 1140101, $B$4), F16),2)), "mm/dd") &amp; " 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D16 &amp; "×("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TEXT(DATE(1911+LEFT(IF(F16="", IF($B$4="", 1140101, $B$4), F16),3),MID(IF(F16="", IF($B$4="", 1140101, $B$4), F16),4,2),RIGHT(IF(F16="", IF($B$4="", 1140101, $B$4), F16),2)), "mm/dd") &amp; " (" &amp; 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IF(((YEAR(DATE(1911+LEFT(IF(F16="", IF($B$4="", 1140101, $B$4), F16),3),MID(IF(F16="", IF($B$4="", 1140101, $B$4), F16),4,2),RIGHT(IF(F16="", IF($B$4="", 1140101, $B$4), F16),2)))-YEAR(IF($B$5="歸買方",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MONTH(DATE(1911+LEFT(IF(F16="", IF($B$4="", 1140101, $B$4), F16),3),MID(IF(F16="", IF($B$4="", 1140101, $B$4), F16),4,2),RIGHT(IF(F16="", IF($B$4="", 1140101, $B$4), F16),2)))-MONTH(IF($B$5="歸買方",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D16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D16 &amp; "×(" &amp; DAY(DATE(1911+LEFT(IF(F16="", IF($B$4="", 1140101, $B$4), F16),3),MID(IF(F16="", IF($B$4="", 1140101, $B$4), F16),4,2),RIGHT(IF(F16="", IF($B$4="", 1140101, $B$4), F16),2))) &amp; "/" &amp; DAY(EOMONTH(DATE(1911+LEFT(IF(F16="", IF($B$4="", 1140101, $B$4), F16),3),MID(IF(F16="", IF($B$4="", 1140101, $B$4), F16),4,2),RIGHT(IF(F16="", IF($B$4="", 1140101, $B$4), F16),2)),0)) &amp; ")"  &amp; " +...",  "$" &amp; D16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D16 &amp; "×(" &amp; DAY(DATE(1911+LEFT(IF(F16="", IF($B$4="", 1140101, $B$4), F16),3),MID(IF(F16="", IF($B$4="", 1140101, $B$4), F16),4,2),RIGHT(IF(F16="", IF($B$4="", 1140101, $B$4), F16),2))) &amp; "/" &amp; DAY(EOMONTH(DATE(1911+LEFT(IF(F16="", IF($B$4="", 1140101, $B$4), F16),3),MID(IF(F16="", IF($B$4="", 1140101, $B$4), F16),4,2),RIGHT(IF(F16="", IF($B$4="", 1140101, $B$4), F16),2)),0)) &amp; ")" )  ), ""), "")</f>
        <v/>
      </c>
      <c r="H16" s="23">
        <f>IF(AND(D16&lt;&gt;"", F16&lt;&gt;""), IF((DATE(1911+LEFT(IF(F16="", IF($B$4="", 1140101, $B$4), F16),3),MID(IF(F16="", IF($B$4="", 1140101, $B$4), F16),4,2),RIGHT(IF(F16="", IF($B$4="", 1140101, $B$4), F16),2))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ROUND(D16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$B$4),2))+1),0)=EOMONTH(DATE(1911+LEFT(IF(F16="", IF($B$4="", 1140101, $B$4), F16),3),MID(IF(F16="", IF($B$4="", 1140101, $B$4), F16),4,2),RIGHT(IF(F16="", IF($B$4="", 1140101, $B$4), F16),2)),0)), ((DATE(1911+LEFT(IF(F16="", IF($B$4="", 1140101, $B$4), F16),3),MID(IF(F16="", IF($B$4="", 1140101, $B$4), F16),4,2),RIGHT(IF(F16="", IF($B$4="", 1140101, $B$4), F16),2))-IF($B$5="歸買方",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(DAY(DATE(1911+LEFT(IF(F16="", IF($B$4="", 1140101, $B$4), F16),3),MID(IF(F16="", IF($B$4="", 1140101, $B$4), F16),4,2),RIGHT(IF(F16="", IF($B$4="", 1140101, $B$4), F16),2)))/DAY(EOMONTH(DATE(1911+LEFT(IF(F16="", IF($B$4="", 1140101, $B$4), F16),3),MID(IF(F16="", IF($B$4="", 1140101, $B$4), F16),4,2),RIGHT(IF(F16="", IF($B$4="", 1140101, $B$4), F16),2)),0))) + MAX(0, (YEAR(DATE(1911+LEFT(IF(F16="", IF($B$4="", 1140101, $B$4), F16),3),MID(IF(F16="", IF($B$4="", 1140101, $B$4), F16),4,2),RIGHT(IF(F16="", IF($B$4="", 1140101, $B$4), F16),2)))-YEAR(IF($B$5="歸買方",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MONTH(DATE(1911+LEFT(IF(F16="", IF($B$4="", 1140101, $B$4), F16),3),MID(IF(F16="", IF($B$4="", 1140101, $B$4), F16),4,2),RIGHT(IF(F16="", IF($B$4="", 1140101, $B$4), F16),2)))-MONTH(IF($B$5="歸買方",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6" s="24">
        <f>IF(AND(D16&lt;&gt;"", F16&lt;&gt;""),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DATE(1911+LEFT(IF(F16="", IF($B$4="", 1140101, $B$4), F16),3),MID(IF(F16="", IF($B$4="", 1140101, $B$4), F16),4,2),RIGHT(IF(F16="", IF($B$4="", 1140101, $B$4), F16),2)) + 1), IF((EOMONTH((DATE(1911+LEFT(IF(F16="", IF($B$4="", 1140101, $B$4), F16),3),MID(IF(F16="", IF($B$4="", 1140101, $B$4), F16),4,2),RIGHT(IF(F16="", IF($B$4="", 1140101, $B$4), F16),2))+1),0)=EOMONTH((IF($B$5="歸買方",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TEXT((DATE(1911+LEFT(IF(F16="", IF($B$4="", 1140101, $B$4), F16),3),MID(IF(F16="", IF($B$4="", 1140101, $B$4), F16),4,2),RIGHT(IF(F16="", IF($B$4="", 1140101, $B$4), F16),2))+1),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"天)" &amp; CHAR(10) &amp;  "$" &amp; D16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")"  ,  TEXT((DATE(1911+LEFT(IF(F16="", IF($B$4="", 1140101, $B$4), F16),3),MID(IF(F16="", IF($B$4="", 1140101, $B$4), F16),4,2),RIGHT(IF(F16="", IF($B$4="", 1140101, $B$4), F16),2))+1),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$B$4),2))+1)-1))-YEAR((DATE(1911+LEFT(IF(F16="", IF($B$4="", 1140101, $B$4), F16),3),MID(IF(F16="", IF($B$4="", 1140101, $B$4), F16),4,2),RIGHT(IF(F16="", IF($B$4="", 1140101, $B$4), F16),2))+1)))*12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$B$4),2))+1)-1))-MONTH((DATE(1911+LEFT(IF(F16="", IF($B$4="", 1140101, $B$4), F16),3),MID(IF(F16="", IF($B$4="", 1140101, $B$4), F16),4,2),RIGHT(IF(F16="", IF($B$4="", 1140101, $B$4), F16),2))+1)) &gt; 1),  "$" &amp; D16 &amp; "×(" &amp; 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 + $" &amp; D16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D16 &amp; "×(" &amp; 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 &amp; "/" &amp; DAY(EOMONTH((DATE(1911+LEFT(IF(F16="", IF($B$4="", 1140101, $B$4), F16),3),MID(IF(F16="", IF($B$4="", 1140101, $B$4), F16),4,2),RIGHT(IF(F16="", IF($B$4="", 1140101, $B$4), F16),2))+1),0)) &amp; ") + $" &amp; D16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6" s="25">
        <f>IF(AND(D16&lt;&gt;"", F16&lt;&gt;""),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DATE(1911+LEFT(IF(F16="", IF($B$4="", 1140101, $B$4), F16),3),MID(IF(F16="", IF($B$4="", 1140101, $B$4), F16),4,2),RIGHT(IF(F16="", IF($B$4="", 1140101, $B$4), F16),2)) + 1), ROUND(D16 * IF((EOMONTH((DATE(1911+LEFT(IF(F16="", IF($B$4="", 1140101, $B$4), F16),3),MID(IF(F16="", IF($B$4="", 1140101, $B$4), F16),4,2),RIGHT(IF(F16="", IF($B$4="", 1140101, $B$4), F16),2))+1),0)=EOMONTH((IF($B$5="歸買方",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$B$4),2))+1)-1)-(DATE(1911+LEFT(IF(F16="", IF($B$4="", 1140101, $B$4), F16),3),MID(IF(F16="", IF($B$4="", 1140101, $B$4), F16),4,2),RIGHT(IF(F16="", IF($B$4="", 1140101, $B$4), F16),2))+1)+1)/DAY(EOMONTH((DATE(1911+LEFT(IF(F16="", IF($B$4="", 1140101, $B$4), F16),3),MID(IF(F16="", IF($B$4="", 1140101, $B$4), F16),4,2),RIGHT(IF(F16="", IF($B$4="", 1140101, $B$4), F16),2))+1),0))), (((EOMONTH((DATE(1911+LEFT(IF(F16="", IF($B$4="", 1140101, $B$4), F16),3),MID(IF(F16="", IF($B$4="", 1140101, $B$4), F16),4,2),RIGHT(IF(F16="", IF($B$4="", 1140101, $B$4), F16),2))+1),0)-(DATE(1911+LEFT(IF(F16="", IF($B$4="", 1140101, $B$4), F16),3),MID(IF(F16="", IF($B$4="", 1140101, $B$4), F16),4,2),RIGHT(IF(F16="", IF($B$4="", 1140101, $B$4), F16),2))+1)+1)/DAY(EOMONTH((DATE(1911+LEFT(IF(F16="", IF($B$4="", 1140101, $B$4), F16),3),MID(IF(F16="", IF($B$4="", 1140101, $B$4), F16),4,2),RIGHT(IF(F16="", IF($B$4="", 1140101, $B$4), F16),2))+1),0)))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$B$4),2))+1)-1))-YEAR((DATE(1911+LEFT(IF(F16="", IF($B$4="", 1140101, $B$4), F16),3),MID(IF(F16="", IF($B$4="", 1140101, $B$4), F16),4,2),RIGHT(IF(F16="", IF($B$4="", 1140101, $B$4), F16),2))+1)))*12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$B$4),2))+1)-1))-MONTH((DATE(1911+LEFT(IF(F16="", IF($B$4="", 1140101, $B$4), F16),3),MID(IF(F16="", IF($B$4="", 1140101, $B$4), F16),4,2),RIGHT(IF(F16="", IF($B$4="", 1140101, $B$4), F16),2))+1)) - 1))), 0), 0), "")</f>
        <v/>
      </c>
    </row>
    <row r="17" ht="35" customHeight="1">
      <c r="A17" s="18" t="inlineStr"/>
      <c r="B17" s="19" t="inlineStr"/>
      <c r="C17" s="19" t="inlineStr"/>
      <c r="D17" s="20" t="inlineStr"/>
      <c r="E17" s="20" t="inlineStr"/>
      <c r="F17" s="21" t="inlineStr"/>
      <c r="G17" s="22">
        <f>IF(AND(D17&lt;&gt;"", F17&lt;&gt;""), IF((DATE(1911+LEFT(IF(F17="", IF($B$4="", 1140101, $B$4), F17),3),MID(IF(F17="", IF($B$4="", 1140101, $B$4), F17),4,2),RIGHT(IF(F17="", IF($B$4="", 1140101, $B$4), F17),2))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$B$4),2))+1),0)=EOMONTH(DATE(1911+LEFT(IF(F17="", IF($B$4="", 1140101, $B$4), F17),3),MID(IF(F17="", IF($B$4="", 1140101, $B$4), F17),4,2),RIGHT(IF(F17="", IF($B$4="", 1140101, $B$4), F17),2)),0)),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TEXT(DATE(1911+LEFT(IF(F17="", IF($B$4="", 1140101, $B$4), F17),3),MID(IF(F17="", IF($B$4="", 1140101, $B$4), F17),4,2),RIGHT(IF(F17="", IF($B$4="", 1140101, $B$4), F17),2)), "mm/dd") &amp; " 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D17 &amp; "×("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TEXT(DATE(1911+LEFT(IF(F17="", IF($B$4="", 1140101, $B$4), F17),3),MID(IF(F17="", IF($B$4="", 1140101, $B$4), F17),4,2),RIGHT(IF(F17="", IF($B$4="", 1140101, $B$4), F17),2)), "mm/dd") &amp; " (" &amp; 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IF(((YEAR(DATE(1911+LEFT(IF(F17="", IF($B$4="", 1140101, $B$4), F17),3),MID(IF(F17="", IF($B$4="", 1140101, $B$4), F17),4,2),RIGHT(IF(F17="", IF($B$4="", 1140101, $B$4), F17),2)))-YEAR(IF($B$5="歸買方",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MONTH(DATE(1911+LEFT(IF(F17="", IF($B$4="", 1140101, $B$4), F17),3),MID(IF(F17="", IF($B$4="", 1140101, $B$4), F17),4,2),RIGHT(IF(F17="", IF($B$4="", 1140101, $B$4), F17),2)))-MONTH(IF($B$5="歸買方",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D17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D17 &amp; "×(" &amp; DAY(DATE(1911+LEFT(IF(F17="", IF($B$4="", 1140101, $B$4), F17),3),MID(IF(F17="", IF($B$4="", 1140101, $B$4), F17),4,2),RIGHT(IF(F17="", IF($B$4="", 1140101, $B$4), F17),2))) &amp; "/" &amp; DAY(EOMONTH(DATE(1911+LEFT(IF(F17="", IF($B$4="", 1140101, $B$4), F17),3),MID(IF(F17="", IF($B$4="", 1140101, $B$4), F17),4,2),RIGHT(IF(F17="", IF($B$4="", 1140101, $B$4), F17),2)),0)) &amp; ")"  &amp; " +...",  "$" &amp; D17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D17 &amp; "×(" &amp; DAY(DATE(1911+LEFT(IF(F17="", IF($B$4="", 1140101, $B$4), F17),3),MID(IF(F17="", IF($B$4="", 1140101, $B$4), F17),4,2),RIGHT(IF(F17="", IF($B$4="", 1140101, $B$4), F17),2))) &amp; "/" &amp; DAY(EOMONTH(DATE(1911+LEFT(IF(F17="", IF($B$4="", 1140101, $B$4), F17),3),MID(IF(F17="", IF($B$4="", 1140101, $B$4), F17),4,2),RIGHT(IF(F17="", IF($B$4="", 1140101, $B$4), F17),2)),0)) &amp; ")" )  ), ""), "")</f>
        <v/>
      </c>
      <c r="H17" s="23">
        <f>IF(AND(D17&lt;&gt;"", F17&lt;&gt;""), IF((DATE(1911+LEFT(IF(F17="", IF($B$4="", 1140101, $B$4), F17),3),MID(IF(F17="", IF($B$4="", 1140101, $B$4), F17),4,2),RIGHT(IF(F17="", IF($B$4="", 1140101, $B$4), F17),2))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ROUND(D17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$B$4),2))+1),0)=EOMONTH(DATE(1911+LEFT(IF(F17="", IF($B$4="", 1140101, $B$4), F17),3),MID(IF(F17="", IF($B$4="", 1140101, $B$4), F17),4,2),RIGHT(IF(F17="", IF($B$4="", 1140101, $B$4), F17),2)),0)), ((DATE(1911+LEFT(IF(F17="", IF($B$4="", 1140101, $B$4), F17),3),MID(IF(F17="", IF($B$4="", 1140101, $B$4), F17),4,2),RIGHT(IF(F17="", IF($B$4="", 1140101, $B$4), F17),2))-IF($B$5="歸買方",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(DAY(DATE(1911+LEFT(IF(F17="", IF($B$4="", 1140101, $B$4), F17),3),MID(IF(F17="", IF($B$4="", 1140101, $B$4), F17),4,2),RIGHT(IF(F17="", IF($B$4="", 1140101, $B$4), F17),2)))/DAY(EOMONTH(DATE(1911+LEFT(IF(F17="", IF($B$4="", 1140101, $B$4), F17),3),MID(IF(F17="", IF($B$4="", 1140101, $B$4), F17),4,2),RIGHT(IF(F17="", IF($B$4="", 1140101, $B$4), F17),2)),0))) + MAX(0, (YEAR(DATE(1911+LEFT(IF(F17="", IF($B$4="", 1140101, $B$4), F17),3),MID(IF(F17="", IF($B$4="", 1140101, $B$4), F17),4,2),RIGHT(IF(F17="", IF($B$4="", 1140101, $B$4), F17),2)))-YEAR(IF($B$5="歸買方",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MONTH(DATE(1911+LEFT(IF(F17="", IF($B$4="", 1140101, $B$4), F17),3),MID(IF(F17="", IF($B$4="", 1140101, $B$4), F17),4,2),RIGHT(IF(F17="", IF($B$4="", 1140101, $B$4), F17),2)))-MONTH(IF($B$5="歸買方",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7" s="24">
        <f>IF(AND(D17&lt;&gt;"", F17&lt;&gt;""),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DATE(1911+LEFT(IF(F17="", IF($B$4="", 1140101, $B$4), F17),3),MID(IF(F17="", IF($B$4="", 1140101, $B$4), F17),4,2),RIGHT(IF(F17="", IF($B$4="", 1140101, $B$4), F17),2)) + 1), IF((EOMONTH((DATE(1911+LEFT(IF(F17="", IF($B$4="", 1140101, $B$4), F17),3),MID(IF(F17="", IF($B$4="", 1140101, $B$4), F17),4,2),RIGHT(IF(F17="", IF($B$4="", 1140101, $B$4), F17),2))+1),0)=EOMONTH((IF($B$5="歸買方",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TEXT((DATE(1911+LEFT(IF(F17="", IF($B$4="", 1140101, $B$4), F17),3),MID(IF(F17="", IF($B$4="", 1140101, $B$4), F17),4,2),RIGHT(IF(F17="", IF($B$4="", 1140101, $B$4), F17),2))+1),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"天)" &amp; CHAR(10) &amp;  "$" &amp; D17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")"  ,  TEXT((DATE(1911+LEFT(IF(F17="", IF($B$4="", 1140101, $B$4), F17),3),MID(IF(F17="", IF($B$4="", 1140101, $B$4), F17),4,2),RIGHT(IF(F17="", IF($B$4="", 1140101, $B$4), F17),2))+1),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$B$4),2))+1)-1))-YEAR((DATE(1911+LEFT(IF(F17="", IF($B$4="", 1140101, $B$4), F17),3),MID(IF(F17="", IF($B$4="", 1140101, $B$4), F17),4,2),RIGHT(IF(F17="", IF($B$4="", 1140101, $B$4), F17),2))+1)))*12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$B$4),2))+1)-1))-MONTH((DATE(1911+LEFT(IF(F17="", IF($B$4="", 1140101, $B$4), F17),3),MID(IF(F17="", IF($B$4="", 1140101, $B$4), F17),4,2),RIGHT(IF(F17="", IF($B$4="", 1140101, $B$4), F17),2))+1)) &gt; 1),  "$" &amp; D17 &amp; "×(" &amp; 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 + $" &amp; D17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D17 &amp; "×(" &amp; 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 &amp; "/" &amp; DAY(EOMONTH((DATE(1911+LEFT(IF(F17="", IF($B$4="", 1140101, $B$4), F17),3),MID(IF(F17="", IF($B$4="", 1140101, $B$4), F17),4,2),RIGHT(IF(F17="", IF($B$4="", 1140101, $B$4), F17),2))+1),0)) &amp; ") + $" &amp; D17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7" s="25">
        <f>IF(AND(D17&lt;&gt;"", F17&lt;&gt;""),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DATE(1911+LEFT(IF(F17="", IF($B$4="", 1140101, $B$4), F17),3),MID(IF(F17="", IF($B$4="", 1140101, $B$4), F17),4,2),RIGHT(IF(F17="", IF($B$4="", 1140101, $B$4), F17),2)) + 1), ROUND(D17 * IF((EOMONTH((DATE(1911+LEFT(IF(F17="", IF($B$4="", 1140101, $B$4), F17),3),MID(IF(F17="", IF($B$4="", 1140101, $B$4), F17),4,2),RIGHT(IF(F17="", IF($B$4="", 1140101, $B$4), F17),2))+1),0)=EOMONTH((IF($B$5="歸買方",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$B$4),2))+1)-1)-(DATE(1911+LEFT(IF(F17="", IF($B$4="", 1140101, $B$4), F17),3),MID(IF(F17="", IF($B$4="", 1140101, $B$4), F17),4,2),RIGHT(IF(F17="", IF($B$4="", 1140101, $B$4), F17),2))+1)+1)/DAY(EOMONTH((DATE(1911+LEFT(IF(F17="", IF($B$4="", 1140101, $B$4), F17),3),MID(IF(F17="", IF($B$4="", 1140101, $B$4), F17),4,2),RIGHT(IF(F17="", IF($B$4="", 1140101, $B$4), F17),2))+1),0))), (((EOMONTH((DATE(1911+LEFT(IF(F17="", IF($B$4="", 1140101, $B$4), F17),3),MID(IF(F17="", IF($B$4="", 1140101, $B$4), F17),4,2),RIGHT(IF(F17="", IF($B$4="", 1140101, $B$4), F17),2))+1),0)-(DATE(1911+LEFT(IF(F17="", IF($B$4="", 1140101, $B$4), F17),3),MID(IF(F17="", IF($B$4="", 1140101, $B$4), F17),4,2),RIGHT(IF(F17="", IF($B$4="", 1140101, $B$4), F17),2))+1)+1)/DAY(EOMONTH((DATE(1911+LEFT(IF(F17="", IF($B$4="", 1140101, $B$4), F17),3),MID(IF(F17="", IF($B$4="", 1140101, $B$4), F17),4,2),RIGHT(IF(F17="", IF($B$4="", 1140101, $B$4), F17),2))+1),0)))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$B$4),2))+1)-1))-YEAR((DATE(1911+LEFT(IF(F17="", IF($B$4="", 1140101, $B$4), F17),3),MID(IF(F17="", IF($B$4="", 1140101, $B$4), F17),4,2),RIGHT(IF(F17="", IF($B$4="", 1140101, $B$4), F17),2))+1)))*12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$B$4),2))+1)-1))-MONTH((DATE(1911+LEFT(IF(F17="", IF($B$4="", 1140101, $B$4), F17),3),MID(IF(F17="", IF($B$4="", 1140101, $B$4), F17),4,2),RIGHT(IF(F17="", IF($B$4="", 1140101, $B$4), F17),2))+1)) - 1))), 0), 0), "")</f>
        <v/>
      </c>
    </row>
    <row r="18" ht="35" customHeight="1">
      <c r="A18" s="18" t="inlineStr"/>
      <c r="B18" s="19" t="inlineStr"/>
      <c r="C18" s="19" t="inlineStr"/>
      <c r="D18" s="20" t="inlineStr"/>
      <c r="E18" s="20" t="inlineStr"/>
      <c r="F18" s="21" t="inlineStr"/>
      <c r="G18" s="22">
        <f>IF(AND(D18&lt;&gt;"", F18&lt;&gt;""), IF((DATE(1911+LEFT(IF(F18="", IF($B$4="", 1140101, $B$4), F18),3),MID(IF(F18="", IF($B$4="", 1140101, $B$4), F18),4,2),RIGHT(IF(F18="", IF($B$4="", 1140101, $B$4), F18),2))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$B$4),2))+1),0)=EOMONTH(DATE(1911+LEFT(IF(F18="", IF($B$4="", 1140101, $B$4), F18),3),MID(IF(F18="", IF($B$4="", 1140101, $B$4), F18),4,2),RIGHT(IF(F18="", IF($B$4="", 1140101, $B$4), F18),2)),0)),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TEXT(DATE(1911+LEFT(IF(F18="", IF($B$4="", 1140101, $B$4), F18),3),MID(IF(F18="", IF($B$4="", 1140101, $B$4), F18),4,2),RIGHT(IF(F18="", IF($B$4="", 1140101, $B$4), F18),2)), "mm/dd") &amp; " 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D18 &amp; "×("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TEXT(DATE(1911+LEFT(IF(F18="", IF($B$4="", 1140101, $B$4), F18),3),MID(IF(F18="", IF($B$4="", 1140101, $B$4), F18),4,2),RIGHT(IF(F18="", IF($B$4="", 1140101, $B$4), F18),2)), "mm/dd") &amp; " (" &amp; 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IF(((YEAR(DATE(1911+LEFT(IF(F18="", IF($B$4="", 1140101, $B$4), F18),3),MID(IF(F18="", IF($B$4="", 1140101, $B$4), F18),4,2),RIGHT(IF(F18="", IF($B$4="", 1140101, $B$4), F18),2)))-YEAR(IF($B$5="歸買方",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MONTH(DATE(1911+LEFT(IF(F18="", IF($B$4="", 1140101, $B$4), F18),3),MID(IF(F18="", IF($B$4="", 1140101, $B$4), F18),4,2),RIGHT(IF(F18="", IF($B$4="", 1140101, $B$4), F18),2)))-MONTH(IF($B$5="歸買方",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D18 &amp; "×(" &amp; DAY(DATE(1911+LEFT(IF(F18="", IF($B$4="", 1140101, $B$4), F18),3),MID(IF(F18="", IF($B$4="", 1140101, $B$4), F18),4,2),RIGHT(IF(F18="", IF($B$4="", 1140101, $B$4), F18),2))) &amp; "/" &amp; DAY(EOMONTH(DATE(1911+LEFT(IF(F18="", IF($B$4="", 1140101, $B$4), F18),3),MID(IF(F18="", IF($B$4="", 1140101, $B$4), F18),4,2),RIGHT(IF(F18="", IF($B$4="", 1140101, $B$4), F18),2)),0)) &amp; ")"  &amp; " +...",  "$" &amp; D18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D18 &amp; "×(" &amp; DAY(DATE(1911+LEFT(IF(F18="", IF($B$4="", 1140101, $B$4), F18),3),MID(IF(F18="", IF($B$4="", 1140101, $B$4), F18),4,2),RIGHT(IF(F18="", IF($B$4="", 1140101, $B$4), F18),2))) &amp; "/" &amp; DAY(EOMONTH(DATE(1911+LEFT(IF(F18="", IF($B$4="", 1140101, $B$4), F18),3),MID(IF(F18="", IF($B$4="", 1140101, $B$4), F18),4,2),RIGHT(IF(F18="", IF($B$4="", 1140101, $B$4), F18),2)),0)) &amp; ")" )  ), ""), "")</f>
        <v/>
      </c>
      <c r="H18" s="23">
        <f>IF(AND(D18&lt;&gt;"", F18&lt;&gt;""), IF((DATE(1911+LEFT(IF(F18="", IF($B$4="", 1140101, $B$4), F18),3),MID(IF(F18="", IF($B$4="", 1140101, $B$4), F18),4,2),RIGHT(IF(F18="", IF($B$4="", 1140101, $B$4), F18),2))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ROUND(D18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$B$4),2))+1),0)=EOMONTH(DATE(1911+LEFT(IF(F18="", IF($B$4="", 1140101, $B$4), F18),3),MID(IF(F18="", IF($B$4="", 1140101, $B$4), F18),4,2),RIGHT(IF(F18="", IF($B$4="", 1140101, $B$4), F18),2)),0)), ((DATE(1911+LEFT(IF(F18="", IF($B$4="", 1140101, $B$4), F18),3),MID(IF(F18="", IF($B$4="", 1140101, $B$4), F18),4,2),RIGHT(IF(F18="", IF($B$4="", 1140101, $B$4), F18),2))-IF($B$5="歸買方",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(DAY(DATE(1911+LEFT(IF(F18="", IF($B$4="", 1140101, $B$4), F18),3),MID(IF(F18="", IF($B$4="", 1140101, $B$4), F18),4,2),RIGHT(IF(F18="", IF($B$4="", 1140101, $B$4), F18),2)))/DAY(EOMONTH(DATE(1911+LEFT(IF(F18="", IF($B$4="", 1140101, $B$4), F18),3),MID(IF(F18="", IF($B$4="", 1140101, $B$4), F18),4,2),RIGHT(IF(F18="", IF($B$4="", 1140101, $B$4), F18),2)),0))) + MAX(0, (YEAR(DATE(1911+LEFT(IF(F18="", IF($B$4="", 1140101, $B$4), F18),3),MID(IF(F18="", IF($B$4="", 1140101, $B$4), F18),4,2),RIGHT(IF(F18="", IF($B$4="", 1140101, $B$4), F18),2)))-YEAR(IF($B$5="歸買方",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MONTH(DATE(1911+LEFT(IF(F18="", IF($B$4="", 1140101, $B$4), F18),3),MID(IF(F18="", IF($B$4="", 1140101, $B$4), F18),4,2),RIGHT(IF(F18="", IF($B$4="", 1140101, $B$4), F18),2)))-MONTH(IF($B$5="歸買方",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8" s="24">
        <f>IF(AND(D18&lt;&gt;"", F18&lt;&gt;""),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DATE(1911+LEFT(IF(F18="", IF($B$4="", 1140101, $B$4), F18),3),MID(IF(F18="", IF($B$4="", 1140101, $B$4), F18),4,2),RIGHT(IF(F18="", IF($B$4="", 1140101, $B$4), F18),2)) + 1), IF((EOMONTH((DATE(1911+LEFT(IF(F18="", IF($B$4="", 1140101, $B$4), F18),3),MID(IF(F18="", IF($B$4="", 1140101, $B$4), F18),4,2),RIGHT(IF(F18="", IF($B$4="", 1140101, $B$4), F18),2))+1),0)=EOMONTH((IF($B$5="歸買方",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TEXT((DATE(1911+LEFT(IF(F18="", IF($B$4="", 1140101, $B$4), F18),3),MID(IF(F18="", IF($B$4="", 1140101, $B$4), F18),4,2),RIGHT(IF(F18="", IF($B$4="", 1140101, $B$4), F18),2))+1),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"天)" &amp; CHAR(10) &amp;  "$" &amp; D18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")"  ,  TEXT((DATE(1911+LEFT(IF(F18="", IF($B$4="", 1140101, $B$4), F18),3),MID(IF(F18="", IF($B$4="", 1140101, $B$4), F18),4,2),RIGHT(IF(F18="", IF($B$4="", 1140101, $B$4), F18),2))+1),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$B$4),2))+1)-1))-YEAR((DATE(1911+LEFT(IF(F18="", IF($B$4="", 1140101, $B$4), F18),3),MID(IF(F18="", IF($B$4="", 1140101, $B$4), F18),4,2),RIGHT(IF(F18="", IF($B$4="", 1140101, $B$4), F18),2))+1)))*12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$B$4),2))+1)-1))-MONTH((DATE(1911+LEFT(IF(F18="", IF($B$4="", 1140101, $B$4), F18),3),MID(IF(F18="", IF($B$4="", 1140101, $B$4), F18),4,2),RIGHT(IF(F18="", IF($B$4="", 1140101, $B$4), F18),2))+1)) &gt; 1),  "$" &amp; D18 &amp; "×(" &amp; 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 + $" &amp; D18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D18 &amp; "×(" &amp; 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 &amp; "/" &amp; DAY(EOMONTH((DATE(1911+LEFT(IF(F18="", IF($B$4="", 1140101, $B$4), F18),3),MID(IF(F18="", IF($B$4="", 1140101, $B$4), F18),4,2),RIGHT(IF(F18="", IF($B$4="", 1140101, $B$4), F18),2))+1),0)) &amp; ") + $" &amp; D18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8" s="25">
        <f>IF(AND(D18&lt;&gt;"", F18&lt;&gt;""),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DATE(1911+LEFT(IF(F18="", IF($B$4="", 1140101, $B$4), F18),3),MID(IF(F18="", IF($B$4="", 1140101, $B$4), F18),4,2),RIGHT(IF(F18="", IF($B$4="", 1140101, $B$4), F18),2)) + 1), ROUND(D18 * IF((EOMONTH((DATE(1911+LEFT(IF(F18="", IF($B$4="", 1140101, $B$4), F18),3),MID(IF(F18="", IF($B$4="", 1140101, $B$4), F18),4,2),RIGHT(IF(F18="", IF($B$4="", 1140101, $B$4), F18),2))+1),0)=EOMONTH((IF($B$5="歸買方",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$B$4),2))+1)-1)-(DATE(1911+LEFT(IF(F18="", IF($B$4="", 1140101, $B$4), F18),3),MID(IF(F18="", IF($B$4="", 1140101, $B$4), F18),4,2),RIGHT(IF(F18="", IF($B$4="", 1140101, $B$4), F18),2))+1)+1)/DAY(EOMONTH((DATE(1911+LEFT(IF(F18="", IF($B$4="", 1140101, $B$4), F18),3),MID(IF(F18="", IF($B$4="", 1140101, $B$4), F18),4,2),RIGHT(IF(F18="", IF($B$4="", 1140101, $B$4), F18),2))+1),0))), (((EOMONTH((DATE(1911+LEFT(IF(F18="", IF($B$4="", 1140101, $B$4), F18),3),MID(IF(F18="", IF($B$4="", 1140101, $B$4), F18),4,2),RIGHT(IF(F18="", IF($B$4="", 1140101, $B$4), F18),2))+1),0)-(DATE(1911+LEFT(IF(F18="", IF($B$4="", 1140101, $B$4), F18),3),MID(IF(F18="", IF($B$4="", 1140101, $B$4), F18),4,2),RIGHT(IF(F18="", IF($B$4="", 1140101, $B$4), F18),2))+1)+1)/DAY(EOMONTH((DATE(1911+LEFT(IF(F18="", IF($B$4="", 1140101, $B$4), F18),3),MID(IF(F18="", IF($B$4="", 1140101, $B$4), F18),4,2),RIGHT(IF(F18="", IF($B$4="", 1140101, $B$4), F18),2))+1),0)))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$B$4),2))+1)-1))-YEAR((DATE(1911+LEFT(IF(F18="", IF($B$4="", 1140101, $B$4), F18),3),MID(IF(F18="", IF($B$4="", 1140101, $B$4), F18),4,2),RIGHT(IF(F18="", IF($B$4="", 1140101, $B$4), F18),2))+1)))*12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$B$4),2))+1)-1))-MONTH((DATE(1911+LEFT(IF(F18="", IF($B$4="", 1140101, $B$4), F18),3),MID(IF(F18="", IF($B$4="", 1140101, $B$4), F18),4,2),RIGHT(IF(F18="", IF($B$4="", 1140101, $B$4), F18),2))+1)) - 1))), 0), 0), "")</f>
        <v/>
      </c>
    </row>
    <row r="19" ht="35" customHeight="1">
      <c r="A19" s="26" t="inlineStr"/>
      <c r="B19" s="27" t="inlineStr"/>
      <c r="C19" s="27" t="inlineStr"/>
      <c r="D19" s="28" t="inlineStr"/>
      <c r="E19" s="28" t="inlineStr"/>
      <c r="F19" s="29" t="inlineStr"/>
      <c r="G19" s="30">
        <f>IF(AND(D19&lt;&gt;"", F19&lt;&gt;""), IF((DATE(1911+LEFT(IF(F19="", IF($B$4="", 1140101, $B$4), F19),3),MID(IF(F19="", IF($B$4="", 1140101, $B$4), F19),4,2),RIGHT(IF(F19="", IF($B$4="", 1140101, $B$4), F19),2)) &gt;= IF($B$5="歸買方", DATE(1911+LEFT(IF($B$4="", 1140101, $B$4),3),MID(IF($B$4="", 1140101, $B$4),4,2),RIGHT(IF($B$4="", 1140101, $B$4),2)), DATE(1911+LEFT(IF($B$4="", 1140101, $B$4),3),MID(IF($B$4="", 1140101, $B$4),4,2),RIGHT(IF($B$4="", 1140101, $B$4),2))+1)),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$B$4),2))+1),0)=EOMONTH(DATE(1911+LEFT(IF(F19="", IF($B$4="", 1140101, $B$4), F19),3),MID(IF(F19="", IF($B$4="", 1140101, $B$4), F19),4,2),RIGHT(IF(F19="", IF($B$4="", 1140101, $B$4), F19),2)),0)),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TEXT(DATE(1911+LEFT(IF(F19="", IF($B$4="", 1140101, $B$4), F19),3),MID(IF(F19="", IF($B$4="", 1140101, $B$4), F19),4,2),RIGHT(IF(F19="", IF($B$4="", 1140101, $B$4), F19),2)), "mm/dd") &amp; " 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"$" &amp; D19 &amp; "×("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")"  , 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TEXT(DATE(1911+LEFT(IF(F19="", IF($B$4="", 1140101, $B$4), F19),3),MID(IF(F19="", IF($B$4="", 1140101, $B$4), F19),4,2),RIGHT(IF(F19="", IF($B$4="", 1140101, $B$4), F19),2)), "mm/dd") &amp; " (" &amp; 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 &amp; "天)" &amp; CHAR(10) &amp;  IF(((YEAR(DATE(1911+LEFT(IF(F19="", IF($B$4="", 1140101, $B$4), F19),3),MID(IF(F19="", IF($B$4="", 1140101, $B$4), F19),4,2),RIGHT(IF(F19="", IF($B$4="", 1140101, $B$4), F19),2)))-YEAR(IF($B$5="歸買方",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MONTH(DATE(1911+LEFT(IF(F19="", IF($B$4="", 1140101, $B$4), F19),3),MID(IF(F19="", IF($B$4="", 1140101, $B$4), F19),4,2),RIGHT(IF(F19="", IF($B$4="", 1140101, $B$4), F19),2)))-MONTH(IF($B$5="歸買方", DATE(1911+LEFT(IF($B$4="", 1140101, $B$4),3),MID(IF($B$4="", 1140101, $B$4),4,2),RIGHT(IF($B$4="", 1140101, $B$4),2)), DATE(1911+LEFT(IF($B$4="", 1140101, $B$4),3),MID(IF($B$4="", 1140101, $B$4),4,2),RIGHT(IF($B$4="", 1140101, $B$4),2))+1)) &gt; 1),  "$" &amp; D19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D19 &amp; "×(" &amp; DAY(DATE(1911+LEFT(IF(F19="", IF($B$4="", 1140101, $B$4), F19),3),MID(IF(F19="", IF($B$4="", 1140101, $B$4), F19),4,2),RIGHT(IF(F19="", IF($B$4="", 1140101, $B$4), F19),2))) &amp; "/" &amp; DAY(EOMONTH(DATE(1911+LEFT(IF(F19="", IF($B$4="", 1140101, $B$4), F19),3),MID(IF(F19="", IF($B$4="", 1140101, $B$4), F19),4,2),RIGHT(IF(F19="", IF($B$4="", 1140101, $B$4), F19),2)),0)) &amp; ")"  &amp; " +...",  "$" &amp; D19 &amp; "×(" &amp; 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 &amp; "/" &amp; DAY(EOMONTH(IF($B$5="歸買方", DATE(1911+LEFT(IF($B$4="", 1140101, $B$4),3),MID(IF($B$4="", 1140101, $B$4),4,2),RIGHT(IF($B$4="", 1140101, $B$4),2)), DATE(1911+LEFT(IF($B$4="", 1140101, $B$4),3),MID(IF($B$4="", 1140101, $B$4),4,2),RIGHT(IF($B$4="", 1140101, $B$4),2))+1),0)) &amp; ") + $" &amp; D19 &amp; "×(" &amp; DAY(DATE(1911+LEFT(IF(F19="", IF($B$4="", 1140101, $B$4), F19),3),MID(IF(F19="", IF($B$4="", 1140101, $B$4), F19),4,2),RIGHT(IF(F19="", IF($B$4="", 1140101, $B$4), F19),2))) &amp; "/" &amp; DAY(EOMONTH(DATE(1911+LEFT(IF(F19="", IF($B$4="", 1140101, $B$4), F19),3),MID(IF(F19="", IF($B$4="", 1140101, $B$4), F19),4,2),RIGHT(IF(F19="", IF($B$4="", 1140101, $B$4), F19),2)),0)) &amp; ")" )  ), ""), "")</f>
        <v/>
      </c>
      <c r="H19" s="31">
        <f>IF(AND(D19&lt;&gt;"", F19&lt;&gt;""), IF((DATE(1911+LEFT(IF(F19="", IF($B$4="", 1140101, $B$4), F19),3),MID(IF(F19="", IF($B$4="", 1140101, $B$4), F19),4,2),RIGHT(IF(F19="", IF($B$4="", 1140101, $B$4), F19),2)) &gt;= IF($B$5="歸買方", DATE(1911+LEFT(IF($B$4="", 1140101, $B$4),3),MID(IF($B$4="", 1140101, $B$4),4,2),RIGHT(IF($B$4="", 1140101, $B$4),2)), DATE(1911+LEFT(IF($B$4="", 1140101, $B$4),3),MID(IF($B$4="", 1140101, $B$4),4,2),RIGHT(IF($B$4="", 1140101, $B$4),2))+1)), ROUND(D19 * IF((EOMONTH(IF($B$5="歸買方", DATE(1911+LEFT(IF($B$4="", 1140101, $B$4),3),MID(IF($B$4="", 1140101, $B$4),4,2),RIGHT(IF($B$4="", 1140101, $B$4),2)), DATE(1911+LEFT(IF($B$4="", 1140101, $B$4),3),MID(IF($B$4="", 1140101, $B$4),4,2),RIGHT(IF($B$4="", 1140101, $B$4),2))+1),0)=EOMONTH(DATE(1911+LEFT(IF(F19="", IF($B$4="", 1140101, $B$4), F19),3),MID(IF(F19="", IF($B$4="", 1140101, $B$4), F19),4,2),RIGHT(IF(F19="", IF($B$4="", 1140101, $B$4), F19),2)),0)), ((DATE(1911+LEFT(IF(F19="", IF($B$4="", 1140101, $B$4), F19),3),MID(IF(F19="", IF($B$4="", 1140101, $B$4), F19),4,2),RIGHT(IF(F19="", IF($B$4="", 1140101, $B$4), F19),2))-IF($B$5="歸買方",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$B$4),2))+1),0))), (((EOMONTH(IF($B$5="歸買方", DATE(1911+LEFT(IF($B$4="", 1140101, $B$4),3),MID(IF($B$4="", 1140101, $B$4),4,2),RIGHT(IF($B$4="", 1140101, $B$4),2)), DATE(1911+LEFT(IF($B$4="", 1140101, $B$4),3),MID(IF($B$4="", 1140101, $B$4),4,2),RIGHT(IF($B$4="", 1140101, $B$4),2))+1),0)-IF($B$5="歸買方", DATE(1911+LEFT(IF($B$4="", 1140101, $B$4),3),MID(IF($B$4="", 1140101, $B$4),4,2),RIGHT(IF($B$4="", 1140101, $B$4),2)), DATE(1911+LEFT(IF($B$4="", 1140101, $B$4),3),MID(IF($B$4="", 1140101, $B$4),4,2),RIGHT(IF($B$4="", 1140101, $B$4),2))+1)+1)/DAY(EOMONTH(IF($B$5="歸買方", DATE(1911+LEFT(IF($B$4="", 1140101, $B$4),3),MID(IF($B$4="", 1140101, $B$4),4,2),RIGHT(IF($B$4="", 1140101, $B$4),2)), DATE(1911+LEFT(IF($B$4="", 1140101, $B$4),3),MID(IF($B$4="", 1140101, $B$4),4,2),RIGHT(IF($B$4="", 1140101, $B$4),2))+1),0))) + (DAY(DATE(1911+LEFT(IF(F19="", IF($B$4="", 1140101, $B$4), F19),3),MID(IF(F19="", IF($B$4="", 1140101, $B$4), F19),4,2),RIGHT(IF(F19="", IF($B$4="", 1140101, $B$4), F19),2)))/DAY(EOMONTH(DATE(1911+LEFT(IF(F19="", IF($B$4="", 1140101, $B$4), F19),3),MID(IF(F19="", IF($B$4="", 1140101, $B$4), F19),4,2),RIGHT(IF(F19="", IF($B$4="", 1140101, $B$4), F19),2)),0))) + MAX(0, (YEAR(DATE(1911+LEFT(IF(F19="", IF($B$4="", 1140101, $B$4), F19),3),MID(IF(F19="", IF($B$4="", 1140101, $B$4), F19),4,2),RIGHT(IF(F19="", IF($B$4="", 1140101, $B$4), F19),2)))-YEAR(IF($B$5="歸買方", DATE(1911+LEFT(IF($B$4="", 1140101, $B$4),3),MID(IF($B$4="", 1140101, $B$4),4,2),RIGHT(IF($B$4="", 1140101, $B$4),2)), DATE(1911+LEFT(IF($B$4="", 1140101, $B$4),3),MID(IF($B$4="", 1140101, $B$4),4,2),RIGHT(IF($B$4="", 1140101, $B$4),2))+1)))*12 + MONTH(DATE(1911+LEFT(IF(F19="", IF($B$4="", 1140101, $B$4), F19),3),MID(IF(F19="", IF($B$4="", 1140101, $B$4), F19),4,2),RIGHT(IF(F19="", IF($B$4="", 1140101, $B$4), F19),2)))-MONTH(IF($B$5="歸買方", DATE(1911+LEFT(IF($B$4="", 1140101, $B$4),3),MID(IF($B$4="", 1140101, $B$4),4,2),RIGHT(IF($B$4="", 1140101, $B$4),2)), DATE(1911+LEFT(IF($B$4="", 1140101, $B$4),3),MID(IF($B$4="", 1140101, $B$4),4,2),RIGHT(IF($B$4="", 1140101, $B$4),2))+1)) - 1))), 0), 0), "")</f>
        <v/>
      </c>
      <c r="I19" s="32">
        <f>IF(AND(D19&lt;&gt;"", F19&lt;&gt;""),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DATE(1911+LEFT(IF(F19="", IF($B$4="", 1140101, $B$4), F19),3),MID(IF(F19="", IF($B$4="", 1140101, $B$4), F19),4,2),RIGHT(IF(F19="", IF($B$4="", 1140101, $B$4), F19),2)) + 1), IF((EOMONTH((DATE(1911+LEFT(IF(F19="", IF($B$4="", 1140101, $B$4), F19),3),MID(IF(F19="", IF($B$4="", 1140101, $B$4), F19),4,2),RIGHT(IF(F19="", IF($B$4="", 1140101, $B$4), F19),2))+1),0)=EOMONTH((IF($B$5="歸買方",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 TEXT((DATE(1911+LEFT(IF(F19="", IF($B$4="", 1140101, $B$4), F19),3),MID(IF(F19="", IF($B$4="", 1140101, $B$4), F19),4,2),RIGHT(IF(F19="", IF($B$4="", 1140101, $B$4), F19),2))+1),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"天)" &amp; CHAR(10) &amp;  "$" &amp; D19 &amp; "×("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")"  ,  TEXT((DATE(1911+LEFT(IF(F19="", IF($B$4="", 1140101, $B$4), F19),3),MID(IF(F19="", IF($B$4="", 1140101, $B$4), F19),4,2),RIGHT(IF(F19="", IF($B$4="", 1140101, $B$4), F19),2))+1), "mm/dd") &amp; "~" &amp; TEXT((IF($B$5="歸買方", DATE(1911+LEFT(IF($B$4="", 1140101, $B$4),3),MID(IF($B$4="", 1140101, $B$4),4,2),RIGHT(IF($B$4="", 1140101, $B$4),2)), DATE(1911+LEFT(IF($B$4="", 1140101, $B$4),3),MID(IF($B$4="", 1140101, $B$4),4,2),RIGHT(IF($B$4="", 1140101, $B$4),2))+1)-1), "mm/dd") &amp; " (" &amp; 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 &amp; "天)" &amp; CHAR(10) &amp;  IF(((YEAR((IF($B$5="歸買方",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$B$4),2))+1)-1))-YEAR((DATE(1911+LEFT(IF(F19="", IF($B$4="", 1140101, $B$4), F19),3),MID(IF(F19="", IF($B$4="", 1140101, $B$4), F19),4,2),RIGHT(IF(F19="", IF($B$4="", 1140101, $B$4), F19),2))+1)))*12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$B$4),2))+1)-1))-MONTH((DATE(1911+LEFT(IF(F19="", IF($B$4="", 1140101, $B$4), F19),3),MID(IF(F19="", IF($B$4="", 1140101, $B$4), F19),4,2),RIGHT(IF(F19="", IF($B$4="", 1140101, $B$4), F19),2))+1)) &gt; 1),  "$" &amp; D19 &amp; "×(" &amp; 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 + $" &amp; D19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 &amp; " +...",  "$" &amp; D19 &amp; "×(" &amp; 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 &amp; "/" &amp; DAY(EOMONTH((DATE(1911+LEFT(IF(F19="", IF($B$4="", 1140101, $B$4), F19),3),MID(IF(F19="", IF($B$4="", 1140101, $B$4), F19),4,2),RIGHT(IF(F19="", IF($B$4="", 1140101, $B$4), F19),2))+1),0)) &amp; ") + $" &amp; D19 &amp; "×(" &amp; DAY((IF($B$5="歸買方", DATE(1911+LEFT(IF($B$4="", 1140101, $B$4),3),MID(IF($B$4="", 1140101, $B$4),4,2),RIGHT(IF($B$4="", 1140101, $B$4),2)), DATE(1911+LEFT(IF($B$4="", 1140101, $B$4),3),MID(IF($B$4="", 1140101, $B$4),4,2),RIGHT(IF($B$4="", 1140101, $B$4),2))+1)-1)) &amp; "/" &amp; 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 &amp; ")" )  ), ""), "")</f>
        <v/>
      </c>
      <c r="J19" s="33">
        <f>IF(AND(D19&lt;&gt;"", F19&lt;&gt;""), IF((IF($B$5="歸買方", DATE(1911+LEFT(IF($B$4="", 1140101, $B$4),3),MID(IF($B$4="", 1140101, $B$4),4,2),RIGHT(IF($B$4="", 1140101, $B$4),2)), DATE(1911+LEFT(IF($B$4="", 1140101, $B$4),3),MID(IF($B$4="", 1140101, $B$4),4,2),RIGHT(IF($B$4="", 1140101, $B$4),2))+1) &gt; DATE(1911+LEFT(IF(F19="", IF($B$4="", 1140101, $B$4), F19),3),MID(IF(F19="", IF($B$4="", 1140101, $B$4), F19),4,2),RIGHT(IF(F19="", IF($B$4="", 1140101, $B$4), F19),2)) + 1), ROUND(D19 * IF((EOMONTH((DATE(1911+LEFT(IF(F19="", IF($B$4="", 1140101, $B$4), F19),3),MID(IF(F19="", IF($B$4="", 1140101, $B$4), F19),4,2),RIGHT(IF(F19="", IF($B$4="", 1140101, $B$4), F19),2))+1),0)=EOMONTH((IF($B$5="歸買方", DATE(1911+LEFT(IF($B$4="", 1140101, $B$4),3),MID(IF($B$4="", 1140101, $B$4),4,2),RIGHT(IF($B$4="", 1140101, $B$4),2)), DATE(1911+LEFT(IF($B$4="", 1140101, $B$4),3),MID(IF($B$4="", 1140101, $B$4),4,2),RIGHT(IF($B$4="", 1140101, $B$4),2))+1)-1),0)), (((IF($B$5="歸買方", DATE(1911+LEFT(IF($B$4="", 1140101, $B$4),3),MID(IF($B$4="", 1140101, $B$4),4,2),RIGHT(IF($B$4="", 1140101, $B$4),2)), DATE(1911+LEFT(IF($B$4="", 1140101, $B$4),3),MID(IF($B$4="", 1140101, $B$4),4,2),RIGHT(IF($B$4="", 1140101, $B$4),2))+1)-1)-(DATE(1911+LEFT(IF(F19="", IF($B$4="", 1140101, $B$4), F19),3),MID(IF(F19="", IF($B$4="", 1140101, $B$4), F19),4,2),RIGHT(IF(F19="", IF($B$4="", 1140101, $B$4), F19),2))+1)+1)/DAY(EOMONTH((DATE(1911+LEFT(IF(F19="", IF($B$4="", 1140101, $B$4), F19),3),MID(IF(F19="", IF($B$4="", 1140101, $B$4), F19),4,2),RIGHT(IF(F19="", IF($B$4="", 1140101, $B$4), F19),2))+1),0))), (((EOMONTH((DATE(1911+LEFT(IF(F19="", IF($B$4="", 1140101, $B$4), F19),3),MID(IF(F19="", IF($B$4="", 1140101, $B$4), F19),4,2),RIGHT(IF(F19="", IF($B$4="", 1140101, $B$4), F19),2))+1),0)-(DATE(1911+LEFT(IF(F19="", IF($B$4="", 1140101, $B$4), F19),3),MID(IF(F19="", IF($B$4="", 1140101, $B$4), F19),4,2),RIGHT(IF(F19="", IF($B$4="", 1140101, $B$4), F19),2))+1)+1)/DAY(EOMONTH((DATE(1911+LEFT(IF(F19="", IF($B$4="", 1140101, $B$4), F19),3),MID(IF(F19="", IF($B$4="", 1140101, $B$4), F19),4,2),RIGHT(IF(F19="", IF($B$4="", 1140101, $B$4), F19),2))+1),0))) + (DAY((IF($B$5="歸買方", DATE(1911+LEFT(IF($B$4="", 1140101, $B$4),3),MID(IF($B$4="", 1140101, $B$4),4,2),RIGHT(IF($B$4="", 1140101, $B$4),2)), DATE(1911+LEFT(IF($B$4="", 1140101, $B$4),3),MID(IF($B$4="", 1140101, $B$4),4,2),RIGHT(IF($B$4="", 1140101, $B$4),2))+1)-1))/DAY(EOMONTH((IF($B$5="歸買方", DATE(1911+LEFT(IF($B$4="", 1140101, $B$4),3),MID(IF($B$4="", 1140101, $B$4),4,2),RIGHT(IF($B$4="", 1140101, $B$4),2)), DATE(1911+LEFT(IF($B$4="", 1140101, $B$4),3),MID(IF($B$4="", 1140101, $B$4),4,2),RIGHT(IF($B$4="", 1140101, $B$4),2))+1)-1),0))) + MAX(0, (YEAR((IF($B$5="歸買方", DATE(1911+LEFT(IF($B$4="", 1140101, $B$4),3),MID(IF($B$4="", 1140101, $B$4),4,2),RIGHT(IF($B$4="", 1140101, $B$4),2)), DATE(1911+LEFT(IF($B$4="", 1140101, $B$4),3),MID(IF($B$4="", 1140101, $B$4),4,2),RIGHT(IF($B$4="", 1140101, $B$4),2))+1)-1))-YEAR((DATE(1911+LEFT(IF(F19="", IF($B$4="", 1140101, $B$4), F19),3),MID(IF(F19="", IF($B$4="", 1140101, $B$4), F19),4,2),RIGHT(IF(F19="", IF($B$4="", 1140101, $B$4), F19),2))+1)))*12 + MONTH((IF($B$5="歸買方", DATE(1911+LEFT(IF($B$4="", 1140101, $B$4),3),MID(IF($B$4="", 1140101, $B$4),4,2),RIGHT(IF($B$4="", 1140101, $B$4),2)), DATE(1911+LEFT(IF($B$4="", 1140101, $B$4),3),MID(IF($B$4="", 1140101, $B$4),4,2),RIGHT(IF($B$4="", 1140101, $B$4),2))+1)-1))-MONTH((DATE(1911+LEFT(IF(F19="", IF($B$4="", 1140101, $B$4), F19),3),MID(IF(F19="", IF($B$4="", 1140101, $B$4), F19),4,2),RIGHT(IF(F19="", IF($B$4="", 1140101, $B$4), F19),2))+1)) - 1))), 0), 0), "")</f>
        <v/>
      </c>
    </row>
    <row r="21" ht="30" customHeight="1">
      <c r="A21" s="34" t="inlineStr">
        <is>
          <t>賣方應付項目 (Debits)</t>
        </is>
      </c>
      <c r="B21" s="35" t="n"/>
      <c r="C21" s="35" t="n"/>
      <c r="D21" s="36" t="n"/>
      <c r="F21" s="37" t="inlineStr">
        <is>
          <t>買方應付項目及費用 (Credits)</t>
        </is>
      </c>
      <c r="G21" s="35" t="n"/>
      <c r="H21" s="35" t="n"/>
      <c r="I21" s="35" t="n"/>
      <c r="J21" s="36" t="n"/>
    </row>
    <row r="22" ht="25" customHeight="1">
      <c r="A22" s="38" t="inlineStr">
        <is>
          <t>1. 押金移轉</t>
        </is>
      </c>
      <c r="D22" s="39">
        <f>SUM(E8:E19)</f>
        <v/>
      </c>
      <c r="F22" s="38" t="inlineStr">
        <is>
          <t>1. 買方補貼賣方 (欠繳租金)</t>
        </is>
      </c>
      <c r="J22" s="40">
        <f>SUM(J8:J19)</f>
        <v/>
      </c>
    </row>
    <row r="23" ht="25" customHeight="1">
      <c r="A23" s="38" t="inlineStr">
        <is>
          <t>2. 賣方補貼買方 (預收租金)</t>
        </is>
      </c>
      <c r="D23" s="39">
        <f>SUM(H8:H19)</f>
        <v/>
      </c>
      <c r="F23" s="38" t="inlineStr">
        <is>
          <t>2. 機上盒/網路/水電等雜支</t>
        </is>
      </c>
      <c r="J23" s="41" t="n">
        <v>0</v>
      </c>
    </row>
    <row r="24" ht="25" customHeight="1">
      <c r="A24" s="42" t="inlineStr">
        <is>
          <t>3. 其他費用 (1)</t>
        </is>
      </c>
      <c r="D24" s="43" t="n">
        <v>0</v>
      </c>
      <c r="F24" s="42" t="inlineStr">
        <is>
          <t>3. 其他費用 (1)</t>
        </is>
      </c>
      <c r="J24" s="41" t="n">
        <v>0</v>
      </c>
    </row>
    <row r="25" ht="25" customHeight="1">
      <c r="A25" s="42" t="inlineStr">
        <is>
          <t>4. 其他費用 (2)</t>
        </is>
      </c>
      <c r="D25" s="43" t="n">
        <v>0</v>
      </c>
      <c r="F25" s="42" t="inlineStr">
        <is>
          <t>4. 其他費用 (2)</t>
        </is>
      </c>
      <c r="J25" s="41" t="n">
        <v>0</v>
      </c>
    </row>
    <row r="26" ht="25" customHeight="1">
      <c r="A26" s="42" t="inlineStr">
        <is>
          <t>5. 其他費用 (3)</t>
        </is>
      </c>
      <c r="D26" s="43" t="n">
        <v>0</v>
      </c>
      <c r="F26" s="42" t="inlineStr">
        <is>
          <t>5. 其他費用 (3)</t>
        </is>
      </c>
      <c r="J26" s="41" t="n">
        <v>0</v>
      </c>
    </row>
    <row r="27" ht="25" customHeight="1">
      <c r="A27" s="42" t="inlineStr">
        <is>
          <t>6. 其他費用 (4)</t>
        </is>
      </c>
      <c r="D27" s="43" t="n">
        <v>0</v>
      </c>
      <c r="F27" s="42" t="inlineStr">
        <is>
          <t>6. 其他費用 (4)</t>
        </is>
      </c>
      <c r="J27" s="41" t="n">
        <v>0</v>
      </c>
    </row>
    <row r="28" ht="30" customHeight="1">
      <c r="A28" s="44" t="inlineStr">
        <is>
          <t>賣方應付小計</t>
        </is>
      </c>
      <c r="B28" s="45" t="n"/>
      <c r="C28" s="45" t="n"/>
      <c r="D28" s="46">
        <f>D22+D23+D24+D25+D26+D27</f>
        <v/>
      </c>
      <c r="F28" s="44" t="inlineStr">
        <is>
          <t>買方應付小計</t>
        </is>
      </c>
      <c r="G28" s="45" t="n"/>
      <c r="H28" s="45" t="n"/>
      <c r="I28" s="45" t="n"/>
      <c r="J28" s="46">
        <f>J22+J23+J24+J25+J26+J27</f>
        <v/>
      </c>
    </row>
    <row r="29" ht="50" customHeight="1">
      <c r="A29" s="47">
        <f>IF(K29&gt;0, "最終結算：賣方應找補買方 $" &amp; TEXT(K29, "#,##0"), IF(K29&lt;0, "最終結算：買方應找補賣方 $" &amp; TEXT(ABS(K29), "#,##0"), "最終結算：雙方無須找補"))</f>
        <v/>
      </c>
      <c r="B29" s="48" t="n"/>
      <c r="C29" s="48" t="n"/>
      <c r="D29" s="48" t="n"/>
      <c r="E29" s="48" t="n"/>
      <c r="F29" s="48" t="n"/>
      <c r="G29" s="48" t="n"/>
      <c r="H29" s="48" t="n"/>
      <c r="I29" s="48" t="n"/>
      <c r="J29" s="49" t="n"/>
      <c r="K29">
        <f>(D28) - (J28)</f>
        <v/>
      </c>
    </row>
    <row r="31" ht="60" customHeight="1">
      <c r="A31" s="50" t="inlineStr">
        <is>
          <t>買方簽章：
__________________________________</t>
        </is>
      </c>
      <c r="B31" s="48" t="n"/>
      <c r="C31" s="48" t="n"/>
      <c r="D31" s="49" t="n"/>
      <c r="F31" s="50" t="inlineStr">
        <is>
          <t>賣方簽章：
__________________________________</t>
        </is>
      </c>
      <c r="G31" s="48" t="n"/>
      <c r="H31" s="48" t="n"/>
      <c r="I31" s="49" t="n"/>
    </row>
    <row r="33" ht="25" customHeight="1">
      <c r="A33" s="51" t="inlineStr">
        <is>
          <t xml:space="preserve">備註事項：
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6" t="n"/>
    </row>
    <row r="34" ht="25" customHeight="1">
      <c r="A34" s="52" t="n"/>
      <c r="J34" s="53" t="n"/>
    </row>
    <row r="35" ht="25" customHeight="1">
      <c r="A35" s="54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5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27">
    <mergeCell ref="A25:C25"/>
    <mergeCell ref="D4:J4"/>
    <mergeCell ref="F31:I31"/>
    <mergeCell ref="F27:I27"/>
    <mergeCell ref="A27:C27"/>
    <mergeCell ref="A29:J29"/>
    <mergeCell ref="A33:J35"/>
    <mergeCell ref="A26:C26"/>
    <mergeCell ref="F21:J21"/>
    <mergeCell ref="A31:D31"/>
    <mergeCell ref="A23:C23"/>
    <mergeCell ref="A22:C22"/>
    <mergeCell ref="C6:F6"/>
    <mergeCell ref="G2:J2"/>
    <mergeCell ref="F25:I25"/>
    <mergeCell ref="A28:C28"/>
    <mergeCell ref="A1:J1"/>
    <mergeCell ref="F28:I28"/>
    <mergeCell ref="F24:I24"/>
    <mergeCell ref="B2:E2"/>
    <mergeCell ref="A24:C24"/>
    <mergeCell ref="B3:J3"/>
    <mergeCell ref="F26:I26"/>
    <mergeCell ref="C5:E5"/>
    <mergeCell ref="A21:D21"/>
    <mergeCell ref="F23:I23"/>
    <mergeCell ref="F22:I22"/>
  </mergeCells>
  <dataValidations count="1">
    <dataValidation sqref="B5" showDropDown="0" showInputMessage="0" showErrorMessage="0" allowBlank="0" type="list">
      <formula1>"歸買方,歸賣方"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5" customWidth="1" min="5" max="5"/>
    <col width="22" customWidth="1" min="6" max="6"/>
    <col width="18" customWidth="1" min="7" max="7"/>
    <col width="55" customWidth="1" min="8" max="8"/>
    <col hidden="1" width="13" customWidth="1" min="27" max="27"/>
    <col hidden="1" width="13" customWidth="1" min="28" max="28"/>
  </cols>
  <sheetData>
    <row r="1" ht="50" customHeight="1">
      <c r="A1" s="56" t="inlineStr">
        <is>
          <t>不動產買賣稅費分算計算機 v5.0 (邏輯還原版)</t>
        </is>
      </c>
      <c r="AA1">
        <f>IFERROR(IF(LEN(C2)=7, DATE(VALUE(LEFT(C2,3))+1911, VALUE(MID(C2,4,2)), VALUE(RIGHT(C2,2))), IF(LEN(C2)=6, DATE(VALUE(LEFT(C2,2))+1911, VALUE(MID(C2,3,2)), VALUE(RIGHT(C2,2))), "")), "")</f>
        <v/>
      </c>
      <c r="AB1">
        <f>IF(C15&lt;&gt;"", C15, AA15)</f>
        <v/>
      </c>
    </row>
    <row r="2" ht="32" customHeight="1">
      <c r="A2" s="57" t="inlineStr">
        <is>
          <t>權狀登記(過戶)日期</t>
        </is>
      </c>
      <c r="B2" s="57" t="n"/>
      <c r="C2" s="58" t="n">
        <v>1141008</v>
      </c>
      <c r="D2" s="59">
        <f>IF(AA1&lt;&gt;"", TEXT(AA1, "民國 e 年 m 月 d 日"), "請依左側格式輸入日期")</f>
        <v/>
      </c>
      <c r="E2" s="59" t="n"/>
      <c r="F2" s="60" t="inlineStr">
        <is>
          <t>房地合一稅申報期限</t>
        </is>
      </c>
      <c r="G2" s="61">
        <f>IF(AA1&lt;&gt;"", TEXT(AA1+30, "民國 e 年 m 月 d 日"), "")</f>
        <v/>
      </c>
      <c r="H2" s="61" t="n"/>
      <c r="AA2">
        <f>IFERROR(IF(LEN(C3)=7, DATE(VALUE(LEFT(C3,3))+1911, VALUE(MID(C3,4,2)), VALUE(RIGHT(C3,2))), IF(LEN(C3)=6, DATE(VALUE(LEFT(C3,2))+1911, VALUE(MID(C3,3,2)), VALUE(RIGHT(C3,2))), "")), "")</f>
        <v/>
      </c>
      <c r="AB2">
        <f>IF(C16&lt;&gt;"", C16, IFERROR(ROUND(AA18*VLOOKUP(C13, 稅率表!$A$2:$B$15, 2, FALSE),0), ""))</f>
        <v/>
      </c>
    </row>
    <row r="3" ht="32" customHeight="1">
      <c r="A3" s="57" t="inlineStr">
        <is>
          <t>房屋點交(交屋)日期</t>
        </is>
      </c>
      <c r="B3" s="57" t="n"/>
      <c r="C3" s="58" t="n">
        <v>1141008</v>
      </c>
      <c r="D3" s="59">
        <f>IF(AA2&lt;&gt;"", TEXT(AA2, "民國 e 年 m 月 d 日"), "請依左側格式輸入日期")</f>
        <v/>
      </c>
      <c r="E3" s="59" t="n"/>
      <c r="F3" s="62">
        <f>IF(AA1="","",IF(MOD(YEAR(AA1)-1911,2)=1, "【注意】
民國 " &amp; YEAR(AA1)-1911 &amp; " 年為地價調整年！
前一年稅單僅供參考。", "【資訊】
民國 " &amp; YEAR(AA1)-1911 &amp; " 年非地價調整年。"))</f>
        <v/>
      </c>
      <c r="G3" s="63" t="n"/>
      <c r="H3" s="63" t="n"/>
      <c r="AB3">
        <f>IF(AA5, 12, IFERROR(DATE(YEAR(AA2),12,31)-DATE(YEAR(AA2),1,1)+1, ""))</f>
        <v/>
      </c>
    </row>
    <row r="4" ht="32" customHeight="1">
      <c r="A4" s="57" t="inlineStr">
        <is>
          <t>是否帶租約交屋</t>
        </is>
      </c>
      <c r="B4" s="57" t="n"/>
      <c r="C4" s="58" t="inlineStr">
        <is>
          <t>否</t>
        </is>
      </c>
      <c r="D4" s="64">
        <f>IF(AA5, "【按月分算模式】", "【按日分算模式】") &amp; " 交屋日歸屬：" &amp; IF(C4="是", "買方", "賣方")</f>
        <v/>
      </c>
      <c r="E4" s="59" t="n"/>
      <c r="F4" s="63" t="n"/>
      <c r="G4" s="63" t="n"/>
      <c r="H4" s="63" t="n"/>
      <c r="AA4">
        <f>IF(C4="是", 1, 0)</f>
        <v/>
      </c>
      <c r="AB4">
        <f>IFERROR(DATE(YEAR(AA2)-IF(MONTH(AA2)&lt;7,1,0),7,1), "")</f>
        <v/>
      </c>
    </row>
    <row r="5" ht="32" customHeight="1">
      <c r="A5" s="65" t="inlineStr">
        <is>
          <t>（一）稅額計算模式</t>
        </is>
      </c>
      <c r="B5" s="63" t="n"/>
      <c r="C5" s="63" t="n"/>
      <c r="D5" s="63" t="n"/>
      <c r="E5" s="63" t="n"/>
      <c r="F5" s="63" t="n"/>
      <c r="G5" s="63" t="n"/>
      <c r="H5" s="63" t="n"/>
      <c r="AA5">
        <f>IF(AA2="","",AND(DAY(EOMONTH(AA2,0))=DAY(AA2), C4="否"))</f>
        <v/>
      </c>
      <c r="AB5">
        <f>IFERROR(DATE(YEAR(AA2)-IF(MONTH(AA2)&lt;7,1,0)+1,6,30), "")</f>
        <v/>
      </c>
    </row>
    <row r="6" ht="32" customHeight="1">
      <c r="A6" s="66" t="inlineStr">
        <is>
          <t>模式一：多筆地價詳算</t>
        </is>
      </c>
      <c r="B6" s="67" t="inlineStr">
        <is>
          <t>地號/說明</t>
        </is>
      </c>
      <c r="C6" s="67" t="inlineStr">
        <is>
          <t>申報地價</t>
        </is>
      </c>
      <c r="D6" s="67" t="inlineStr">
        <is>
          <t>面積(m²)</t>
        </is>
      </c>
      <c r="E6" s="67" t="inlineStr">
        <is>
          <t>權利範圍</t>
        </is>
      </c>
      <c r="F6" s="67" t="inlineStr">
        <is>
          <t>土地類型</t>
        </is>
      </c>
      <c r="G6" s="67" t="inlineStr">
        <is>
          <t>地價總額</t>
        </is>
      </c>
      <c r="H6" s="63" t="n"/>
      <c r="AB6">
        <f>IF(AA5, 12, IFERROR(AB5-AB4+1, ""))</f>
        <v/>
      </c>
    </row>
    <row r="7" ht="32" customHeight="1">
      <c r="A7" s="68" t="inlineStr">
        <is>
          <t>土地 1</t>
        </is>
      </c>
      <c r="B7" s="69" t="inlineStr">
        <is>
          <t>甲地</t>
        </is>
      </c>
      <c r="C7" s="69" t="n">
        <v>10000</v>
      </c>
      <c r="D7" s="69" t="n">
        <v>70</v>
      </c>
      <c r="E7" s="70" t="inlineStr">
        <is>
          <t>100%</t>
        </is>
      </c>
      <c r="F7" s="69" t="inlineStr">
        <is>
          <t>一般用地 (10‰)</t>
        </is>
      </c>
      <c r="G7" s="71">
        <f>IFERROR(C7*D7*AA7, "")</f>
        <v/>
      </c>
      <c r="H7" s="63" t="n"/>
      <c r="AA7">
        <f>IFERROR(IF(ISNUMBER(FIND("/",E7)), LEFT(E7, FIND("/", E7)-1) / MID(E7, FIND("/", E7)+1, LEN(E7)), IF(ISNUMBER(FIND("%",E7)), VALUE(SUBSTITUTE(E7,"%",""))/100, IF(ISNUMBER(E7), E7/100, 1))), 1)</f>
        <v/>
      </c>
      <c r="AB7">
        <f>IFERROR(EOMONTH(DATE(YEAR(AB5),2,1),0), "")</f>
        <v/>
      </c>
    </row>
    <row r="8" ht="32" customHeight="1">
      <c r="A8" s="68" t="inlineStr">
        <is>
          <t>土地 2</t>
        </is>
      </c>
      <c r="B8" s="69" t="n"/>
      <c r="C8" s="69" t="n"/>
      <c r="D8" s="69" t="n"/>
      <c r="E8" s="70" t="n"/>
      <c r="F8" s="69" t="n"/>
      <c r="G8" s="71">
        <f>IFERROR(C8*D8*AA8, "")</f>
        <v/>
      </c>
      <c r="H8" s="63" t="n"/>
      <c r="AA8">
        <f>IFERROR(IF(ISNUMBER(FIND("/",E8)), LEFT(E8, FIND("/", E8)-1) / MID(E8, FIND("/", E8)+1, LEN(E8)), IF(ISNUMBER(FIND("%",E8)), VALUE(SUBSTITUTE(E8,"%",""))/100, IF(ISNUMBER(E8), E8/100, 1))), 1)</f>
        <v/>
      </c>
      <c r="AB8">
        <f>IFERROR(IF(AA1&gt;DATE(YEAR(AA2),8,31), "賣方", "買方"), "")</f>
        <v/>
      </c>
    </row>
    <row r="9" ht="32" customHeight="1">
      <c r="A9" s="68" t="inlineStr">
        <is>
          <t>土地 3</t>
        </is>
      </c>
      <c r="B9" s="69" t="n"/>
      <c r="C9" s="69" t="n"/>
      <c r="D9" s="69" t="n"/>
      <c r="E9" s="70" t="n"/>
      <c r="F9" s="69" t="n"/>
      <c r="G9" s="71">
        <f>IFERROR(C9*D9*AA9, "")</f>
        <v/>
      </c>
      <c r="H9" s="63" t="n"/>
      <c r="AA9">
        <f>IFERROR(IF(ISNUMBER(FIND("/",E9)), LEFT(E9, FIND("/", E9)-1) / MID(E9, FIND("/", E9)+1, LEN(E9)), IF(ISNUMBER(FIND("%",E9)), VALUE(SUBSTITUTE(E9,"%",""))/100, IF(ISNUMBER(E9), E9/100, 1))), 1)</f>
        <v/>
      </c>
      <c r="AB9">
        <f>IFERROR(IF(AA1&gt;AB7, "賣方", "買方"), "")</f>
        <v/>
      </c>
    </row>
    <row r="10" ht="32" customHeight="1">
      <c r="A10" s="63" t="inlineStr">
        <is>
          <t>累進起點地價</t>
        </is>
      </c>
      <c r="B10" s="63" t="n"/>
      <c r="C10" s="72" t="n">
        <v>1700000</v>
      </c>
      <c r="D10" s="73" t="inlineStr">
        <is>
          <t>請輸入該縣市累進起點地價，留空則全按基本稅率(10‰)計算。</t>
        </is>
      </c>
      <c r="E10" s="63" t="n"/>
      <c r="F10" s="63" t="n"/>
      <c r="G10" s="63" t="n"/>
      <c r="H10" s="63" t="n"/>
      <c r="AB10">
        <f>IFERROR(IF(AA5, MONTH(AA2), AA2-DATE(YEAR(AA2),1,1)+1-AA4),"")</f>
        <v/>
      </c>
    </row>
    <row r="11" hidden="1" ht="32" customHeight="1">
      <c r="A11" s="63" t="n"/>
      <c r="B11" s="63" t="n"/>
      <c r="C11" s="63" t="n"/>
      <c r="D11" s="63" t="n"/>
      <c r="E11" s="63" t="n"/>
      <c r="F11" s="63" t="n"/>
      <c r="G11" s="63" t="n"/>
      <c r="H11" s="63" t="n"/>
      <c r="AA11">
        <f>ROUND(SUMPRODUCT((F7:F9="自用住宅 (2‰)")*G7:G9*0.002),0)</f>
        <v/>
      </c>
      <c r="AB11">
        <f>IFERROR(IF(AA5, 12-MONTH(AA2), DATE(YEAR(AA2),12,31)-AA2+AA4),"")</f>
        <v/>
      </c>
    </row>
    <row r="12" ht="32" customHeight="1">
      <c r="A12" s="63" t="inlineStr">
        <is>
          <t>房屋現值</t>
        </is>
      </c>
      <c r="B12" s="63" t="n"/>
      <c r="C12" s="69" t="inlineStr">
        <is>
          <t>1000000</t>
        </is>
      </c>
      <c r="D12" s="63" t="n"/>
      <c r="E12" s="63" t="n"/>
      <c r="F12" s="63" t="n"/>
      <c r="G12" s="63" t="n"/>
      <c r="H12" s="63" t="n"/>
      <c r="AA12">
        <f>SUMPRODUCT((F7:F9&lt;&gt;"自用住宅 (2‰)")*G7:G9)</f>
        <v/>
      </c>
      <c r="AB12">
        <f>IFERROR(IF(AA5, IF(MONTH(AA2)&gt;=7, MONTH(AA2)-6, MONTH(AA2)+6), AA2-AB4+1-AA4),"")</f>
        <v/>
      </c>
    </row>
    <row r="13" ht="32" customHeight="1">
      <c r="A13" s="63" t="inlineStr">
        <is>
          <t>房屋使用情境</t>
        </is>
      </c>
      <c r="B13" s="63" t="n"/>
      <c r="C13" s="69" t="inlineStr">
        <is>
          <t>自住用-全國3戶內 (1.2%)</t>
        </is>
      </c>
      <c r="D13" s="74">
        <f>IFERROR(VLOOKUP(C13, 稅率表!$A$2:$B$15, 2, FALSE), "")</f>
        <v/>
      </c>
      <c r="E13" s="63" t="n"/>
      <c r="F13" s="63" t="n"/>
      <c r="G13" s="63" t="n"/>
      <c r="H13" s="63" t="n"/>
      <c r="AA13">
        <f>IF(C10="",0,C10)</f>
        <v/>
      </c>
      <c r="AB13">
        <f>IFERROR(IF(AA5, 12 - IF(MONTH(AA2)&gt;=7, MONTH(AA2)-6, MONTH(AA2)+6), AB5-AA2+AA4),"")</f>
        <v/>
      </c>
    </row>
    <row r="14" ht="32" customHeight="1">
      <c r="A14" s="66" t="inlineStr">
        <is>
          <t>模式二：快速稅額輸入 (若此區有值，將優先採用)</t>
        </is>
      </c>
      <c r="B14" s="63" t="n"/>
      <c r="C14" s="63" t="n"/>
      <c r="AA14">
        <f>ROUND(IF(AA13=0, AA12*0.01, IF(AA12&lt;=AA13, AA12*0.01, IF(AA12&lt;=AA13*5, AA12*0.015-AA13*0.005, IF(AA12&lt;=AA13*10, AA12*0.025-AA13*0.065, IF(AA12&lt;=AA13*15, AA12*0.035-AA13*0.175, IF(AA12&lt;=AA13*20, AA12*0.045-AA13*0.335, AA12*0.055-AA13*0.545)))))),0)</f>
        <v/>
      </c>
    </row>
    <row r="15" ht="32" customHeight="1">
      <c r="A15" s="63" t="inlineStr">
        <is>
          <t>年度應納地價稅</t>
        </is>
      </c>
      <c r="B15" s="63" t="n"/>
      <c r="C15" s="75" t="n"/>
      <c r="AA15">
        <f>AA11+AA14</f>
        <v/>
      </c>
    </row>
    <row r="16" ht="32" customHeight="1">
      <c r="A16" s="63" t="inlineStr">
        <is>
          <t>年度應納房屋稅</t>
        </is>
      </c>
      <c r="B16" s="63" t="n"/>
      <c r="C16" s="75" t="n"/>
      <c r="AA16">
        <f>IFERROR(IF(ISNUMBER(FIND("-",C12)), VALUE(LEFT(C12, FIND("-",C12)-1)), C12), C12)</f>
        <v/>
      </c>
    </row>
    <row r="17" ht="32" customHeight="1">
      <c r="A17" s="65" t="inlineStr">
        <is>
          <t>（二）核心稅費計算</t>
        </is>
      </c>
      <c r="B17" s="63" t="n"/>
      <c r="C17" s="63" t="n"/>
      <c r="D17" s="63" t="n"/>
      <c r="E17" s="63" t="n"/>
      <c r="F17" s="63" t="n"/>
      <c r="G17" s="63" t="n"/>
      <c r="H17" s="63" t="n"/>
      <c r="AA17">
        <f>IFERROR(IF(ISNUMBER(FIND("-",C12)), VALUE(MID(C12, FIND("-",C12)+1, LEN(C12))), 0), 0)</f>
        <v/>
      </c>
    </row>
    <row r="18" ht="32" customHeight="1">
      <c r="A18" s="66" t="inlineStr">
        <is>
          <t>項目</t>
        </is>
      </c>
      <c r="B18" s="66" t="inlineStr">
        <is>
          <t>賣方持有期間</t>
        </is>
      </c>
      <c r="C18" s="66" t="inlineStr">
        <is>
          <t>買方持有期間</t>
        </is>
      </c>
      <c r="D18" s="66" t="inlineStr">
        <is>
          <t>年度總稅額</t>
        </is>
      </c>
      <c r="E18" s="66" t="inlineStr">
        <is>
          <t>找補金額</t>
        </is>
      </c>
      <c r="F18" s="66" t="n"/>
      <c r="G18" s="66" t="n"/>
      <c r="H18" s="66" t="n"/>
      <c r="AA18">
        <f>IF(ISNUMBER(C12), C12, AA16-AA17)</f>
        <v/>
      </c>
    </row>
    <row r="19" ht="180" customHeight="1">
      <c r="A19" s="76" t="inlineStr">
        <is>
          <t>地價稅</t>
        </is>
      </c>
      <c r="B19" s="77">
        <f>IF(AB10&lt;&gt;"", AB10 &amp; IF(AA5, " 月", " 天"), "")</f>
        <v/>
      </c>
      <c r="C19" s="77">
        <f>IF(AB11&lt;&gt;"", AB11 &amp; IF(AA5, " 月", " 天"), "")</f>
        <v/>
      </c>
      <c r="D19" s="78">
        <f>AB1</f>
        <v/>
      </c>
      <c r="E19" s="78">
        <f>IFERROR(IF(AB8="賣方", ROUND(D19*AB11/AB3,0), ROUND(D19*AB10/AB3,0)),0)</f>
        <v/>
      </c>
      <c r="F19" s="78" t="n"/>
      <c r="G19" s="78" t="n"/>
      <c r="H19" s="79">
        <f>IF(E19=0, "無需找補", "納稅人為【" &amp; AB8 &amp; "】，" &amp; IF(AB8="賣方", "由【買方】補貼賣方", "由【賣方】補貼買方") &amp; "。" &amp; CHAR(10) &amp; "【找補計算】" &amp; CHAR(10) &amp; "  " &amp; TEXT(D19, "#,##0") &amp; " * (" &amp; IF(AB8="賣方", AB11, AB10) &amp; " / " &amp; AB3 &amp; ") = " &amp; TEXT(E19, "#,##0") &amp; CHAR(10) &amp; "【款項性質】" &amp; CHAR(10) &amp; "  " &amp; "此為民國 " &amp; YEAR(AA2)-1911 &amp; " 年度地價稅找補，屬【" &amp; IF(AA2&gt;DATE(YEAR(AA2),8,31), "未到期數", "已到期數") &amp; "】款項。" &amp; CHAR(10) &amp; "---" &amp; CHAR(10) &amp; "【稅務規則】" &amp; CHAR(10) &amp; "● 課稅年度： 民國 " &amp; YEAR(AA2)-1911 &amp; " 年 (1/1 ~ 12/31)" &amp; CHAR(10) &amp; "● 開徵期間： 民國 " &amp; YEAR(AA2)-1911 &amp; " 年 11 月 1 日 至 11 月 30 日" &amp; CHAR(10) &amp; "● 納稅基準日： 民國 " &amp; YEAR(AA2)-1911 &amp; " 年 8 月 31 日" &amp; CHAR(10) &amp; "● 本案納稅人： 【" &amp; AB8 &amp; "】 (以基準日之地政登記所有權人為準)")</f>
        <v/>
      </c>
    </row>
    <row r="20" ht="180" customHeight="1">
      <c r="A20" s="76" t="inlineStr">
        <is>
          <t>房屋稅</t>
        </is>
      </c>
      <c r="B20" s="80">
        <f>IF(AB12&lt;&gt;"", AB12 &amp; IF(AA5, " 月", " 天"), "")</f>
        <v/>
      </c>
      <c r="C20" s="80">
        <f>IF(AB13&lt;&gt;"", AB13 &amp; IF(AA5, " 月", " 天"), "")</f>
        <v/>
      </c>
      <c r="D20" s="78">
        <f>AB2</f>
        <v/>
      </c>
      <c r="E20" s="78">
        <f>IFERROR(IF(AB9="賣方", ROUND(D20*AB13/AB6,0), ROUND(D20*AB12/AB6,0)),0)</f>
        <v/>
      </c>
      <c r="F20" s="78" t="n"/>
      <c r="G20" s="78" t="n"/>
      <c r="H20" s="79">
        <f>IF(E20=0, "無需找補", "納稅人為【" &amp; AB9 &amp; "】，" &amp; IF(AB9="賣方", "由【買方】補貼賣方", "由【賣方】補貼買方") &amp; "。" &amp; CHAR(10) &amp; IF(C16="", "【年稅額計算】" &amp; CHAR(10) &amp; "  " &amp; IF(AA17&gt;0, "(" &amp; TEXT(AA16,"#,##0") &amp; "-" &amp; TEXT(AA17,"#,##0") &amp; ")", TEXT(AA18,"#,##0")) &amp; " * " &amp; TEXT(D13,"0.0%") &amp; " = " &amp; TEXT(D20, "#,##0") &amp; CHAR(10), "") &amp; "【找補計算】" &amp; CHAR(10) &amp; "  " &amp; TEXT(D20, "#,##0") &amp; " * (" &amp; IF(AB9="賣方", AB13, AB12) &amp; " / " &amp; AB6 &amp; ") = " &amp; TEXT(E20, "#,##0") &amp; CHAR(10) &amp; "【款項性質】" &amp; CHAR(10) &amp; "  " &amp; "此為民國 " &amp; YEAR(AB5)-1911 &amp; " 年度房屋稅找補，屬【" &amp; IF(AA2&gt;AB7, "未到期數", "已到期數") &amp; "】款項。" &amp; CHAR(10) &amp; "---" &amp; CHAR(10) &amp; "【稅務規則】" &amp; CHAR(10) &amp; "● 課稅期間： 民國 " &amp; YEAR(AB4)-1911 &amp; "/7/1 至 " &amp; YEAR(AB5)-1911 &amp; "/6/30" &amp; CHAR(10) &amp; "● 開徵期間： 民國 " &amp; YEAR(AB5)-1911 &amp; " 年 5 月 1 日 至 5 月 31 日" &amp; CHAR(10) &amp; "● 納稅基準日： " &amp; TEXT(AB7, "民國 e 年 m 月 d 日") &amp; CHAR(10) &amp; "● 本案納稅人： 【" &amp; AB9 &amp; "】 (以基準日之房屋所有權人為準)")</f>
        <v/>
      </c>
      <c r="AA20">
        <f>IFERROR(IF(LEN(F22)=7, DATE(VALUE(LEFT(F22,3))+1911, VALUE(MID(F22,4,2)), VALUE(RIGHT(F22,2))), IF(LEN(F22)=6, DATE(VALUE(LEFT(F22,2))+1911, VALUE(MID(F22,3,2)), VALUE(RIGHT(F22,2))), "")), "")</f>
        <v/>
      </c>
    </row>
    <row r="21" ht="32" customHeight="1">
      <c r="A21" s="65" t="inlineStr">
        <is>
          <t>（三）其他費用分算 (公用事業 &amp; 管理費)</t>
        </is>
      </c>
      <c r="B21" s="63" t="n"/>
      <c r="C21" s="63" t="n"/>
      <c r="D21" s="63" t="n"/>
      <c r="E21" s="63" t="n"/>
      <c r="F21" s="63" t="n"/>
      <c r="G21" s="63" t="n"/>
      <c r="H21" s="63" t="n"/>
      <c r="AA21">
        <f>IFERROR(IF(LEN(F23)=7, DATE(VALUE(LEFT(F23,3))+1911, VALUE(MID(F23,4,2)), VALUE(RIGHT(F23,2))), IF(LEN(F23)=6, DATE(VALUE(LEFT(F23,2))+1911, VALUE(MID(F23,3,2)), VALUE(RIGHT(F23,2))), "")), "")</f>
        <v/>
      </c>
      <c r="AB21">
        <f>IFERROR(IF(AND(B22&gt;0, AA20&gt;=AA2), IF((YEAR(AA20)=YEAR(AA2))*(MONTH(AA20)=MONTH(AA2)), ROUND(B22*(AA20-AA2+AA4)/DAY(EOMONTH(AA2,0)),0), ROUND((B22*(DAY(EOMONTH(AA2,0))-DAY(AA2)+AA4)/DAY(EOMONTH(AA2,0))) + (B22*MAX(0,(YEAR(AA20)-YEAR(AA2))*12+MONTH(AA20)-MONTH(AA2)-1)) + (B22*DAY(AA20)/DAY(EOMONTH(AA20,0))),0)), 0), 0)</f>
        <v/>
      </c>
    </row>
    <row r="22" ht="32" customHeight="1">
      <c r="A22" s="68" t="inlineStr">
        <is>
          <t>管理費(月)</t>
        </is>
      </c>
      <c r="B22" s="81" t="n"/>
      <c r="C22" s="68" t="n"/>
      <c r="D22" s="68" t="inlineStr">
        <is>
          <t>管理費已預繳至</t>
        </is>
      </c>
      <c r="E22" s="68" t="n"/>
      <c r="F22" s="82" t="n"/>
      <c r="G22" s="59">
        <f>IF(AA20&lt;&gt;"", TEXT(AA20, "民國 e 年 m 月 d 日"), "格式: YYYMMDD")</f>
        <v/>
      </c>
      <c r="H22" s="59" t="n"/>
      <c r="AB22">
        <f>IFERROR(IF(AND(B23&gt;0, AA21&gt;=AA2), IF((YEAR(AA21)=YEAR(AA2))*(MONTH(AA21)=MONTH(AA2)), ROUND(B23*(AA21-AA2+AA4)/DAY(EOMONTH(AA2,0)),0), ROUND((B23*(DAY(EOMONTH(AA2,0))-DAY(AA2)+AA4)/DAY(EOMONTH(AA2,0))) + (B23*MAX(0,(YEAR(AA21)-YEAR(AA2))*12+MONTH(AA21)-MONTH(AA2)-1)) + (B23*DAY(AA21)/DAY(EOMONTH(AA21,0))),0)), 0), 0)</f>
        <v/>
      </c>
    </row>
    <row r="23" ht="32" customHeight="1">
      <c r="A23" s="68" t="inlineStr">
        <is>
          <t>車位費(月)</t>
        </is>
      </c>
      <c r="B23" s="81" t="n"/>
      <c r="C23" s="68" t="n"/>
      <c r="D23" s="68" t="inlineStr">
        <is>
          <t>車位費已預繳至</t>
        </is>
      </c>
      <c r="E23" s="68" t="n"/>
      <c r="F23" s="82" t="n"/>
      <c r="G23" s="59">
        <f>IF(AA21&lt;&gt;"", TEXT(AA21, "民國 e 年 m 月 d 日"), "格式: YYYMMDD")</f>
        <v/>
      </c>
      <c r="H23" s="59" t="n"/>
    </row>
    <row r="24" ht="32" customHeight="1">
      <c r="A24" s="83" t="inlineStr">
        <is>
          <t>⚠️ 租金/押金 計算請至【交屋租金分算表】分頁填寫，結果將自動彙整至下方結算區。</t>
        </is>
      </c>
      <c r="B24" s="68" t="n"/>
      <c r="C24" s="68" t="n"/>
      <c r="D24" s="68" t="n"/>
      <c r="E24" s="68" t="n"/>
      <c r="F24" s="68" t="n"/>
      <c r="G24" s="68" t="n"/>
      <c r="H24" s="68" t="n"/>
      <c r="AB24">
        <f>IFERROR(IF(AND(B22&gt;0, AA20&lt;AA2), ROUND((B22*(DAY(EOMONTH(AA20,0))-DAY(AA20))/DAY(EOMONTH(AA20,0))) + (B22*MAX(0,(YEAR(AA2)-YEAR(AA20))*12+MONTH(AA2)-MONTH(AA20)-1)) + (B22*(DAY(AA2)-AA4)/DAY(EOMONTH(AA2,0))),0), 0), 0)</f>
        <v/>
      </c>
    </row>
    <row r="25" ht="32" customHeight="1">
      <c r="A25" s="68" t="inlineStr">
        <is>
          <t>水費溢繳</t>
        </is>
      </c>
      <c r="B25" s="81" t="n"/>
      <c r="C25" s="68" t="n"/>
      <c r="D25" s="68" t="n"/>
      <c r="E25" s="68" t="n"/>
      <c r="F25" s="68" t="n"/>
      <c r="G25" s="68" t="n"/>
      <c r="H25" s="68" t="n"/>
      <c r="AB25">
        <f>IFERROR(IF(AND(B23&gt;0, AA21&lt;AA2), ROUND((B23*(DAY(EOMONTH(AA21,0))-DAY(AA21))/DAY(EOMONTH(AA21,0))) + (B23*MAX(0,(YEAR(AA2)-YEAR(AA21))*12+MONTH(AA2)-MONTH(AA21)-1)) + (B23*(DAY(AA2)-AA4)/DAY(EOMONTH(AA2,0))),0), 0), 0)</f>
        <v/>
      </c>
    </row>
    <row r="26" ht="32" customHeight="1">
      <c r="A26" s="68" t="inlineStr">
        <is>
          <t>電費溢繳</t>
        </is>
      </c>
      <c r="B26" s="81" t="n"/>
      <c r="C26" s="68" t="n"/>
      <c r="D26" s="68" t="n"/>
      <c r="E26" s="68" t="n"/>
      <c r="F26" s="68" t="n"/>
      <c r="G26" s="68" t="n"/>
      <c r="H26" s="68" t="n"/>
    </row>
    <row r="27" ht="32" customHeight="1">
      <c r="A27" s="68" t="inlineStr">
        <is>
          <t>瓦斯費溢繳</t>
        </is>
      </c>
      <c r="B27" s="81" t="n"/>
      <c r="C27" s="68" t="n"/>
      <c r="D27" s="68" t="n"/>
      <c r="E27" s="68" t="n"/>
      <c r="F27" s="68" t="n"/>
      <c r="G27" s="68" t="n"/>
      <c r="H27" s="68" t="n"/>
    </row>
    <row r="28" ht="32" customHeight="1">
      <c r="A28" s="65" t="inlineStr">
        <is>
          <t>（四）最終結算</t>
        </is>
      </c>
      <c r="B28" s="63" t="n"/>
      <c r="C28" s="63" t="n"/>
      <c r="D28" s="63" t="n"/>
      <c r="E28" s="63" t="n"/>
      <c r="F28" s="63" t="n"/>
      <c r="G28" s="63" t="n"/>
      <c r="H28" s="63" t="n"/>
    </row>
    <row r="29" ht="32" customHeight="1">
      <c r="A29" s="66" t="inlineStr">
        <is>
          <t>項目</t>
        </is>
      </c>
      <c r="B29" s="66" t="n"/>
      <c r="C29" s="66" t="n"/>
      <c r="D29" s="66" t="inlineStr">
        <is>
          <t>買方應付給賣方</t>
        </is>
      </c>
      <c r="E29" s="66" t="inlineStr">
        <is>
          <t>賣方應付給買方</t>
        </is>
      </c>
      <c r="F29" s="66" t="inlineStr">
        <is>
          <t>詳細計算說明</t>
        </is>
      </c>
      <c r="G29" s="66" t="n"/>
      <c r="H29" s="66" t="n"/>
    </row>
    <row r="30" ht="32" customHeight="1">
      <c r="A30" s="59" t="inlineStr">
        <is>
          <t>地價稅找補</t>
        </is>
      </c>
      <c r="B30" s="59" t="n"/>
      <c r="C30" s="59" t="n"/>
      <c r="D30" s="84">
        <f>IF(AB8="賣方", E19, 0)</f>
        <v/>
      </c>
      <c r="E30" s="85">
        <f>IF(AB8="買方", E19, 0)</f>
        <v/>
      </c>
      <c r="F30" s="86">
        <f>IF(OR(D30&gt;0,E30&gt;0), "找補 " &amp; IF(D30&gt;0, "買方持有 " &amp; AB11, "賣方持有 " &amp; AB10) &amp; IF(AA5," 個月", " 天") &amp; "稅額。" &amp; CHAR(10) &amp; "【計算】" &amp; TEXT(D19,"#,##0") &amp; " * (" &amp; IF(D30&gt;0, AB11, AB10) &amp; " / " &amp; AB3 &amp; ") = " &amp; TEXT(E19,"#,##0"), "無需找補")</f>
        <v/>
      </c>
      <c r="G30" s="86" t="n"/>
      <c r="H30" s="86" t="n"/>
    </row>
    <row r="31" ht="32" customHeight="1">
      <c r="A31" s="59" t="inlineStr">
        <is>
          <t>房屋稅找補</t>
        </is>
      </c>
      <c r="B31" s="59" t="n"/>
      <c r="C31" s="59" t="n"/>
      <c r="D31" s="84">
        <f>IF(AB9="賣方", E20, 0)</f>
        <v/>
      </c>
      <c r="E31" s="85">
        <f>IF(AB9="買方", E20, 0)</f>
        <v/>
      </c>
      <c r="F31" s="86">
        <f>IF(OR(D31&gt;0,E31&gt;0), "找補 " &amp; IF(D31&gt;0, "買方持有 " &amp; AB13, "賣方持有 " &amp; AB12) &amp; IF(AA5," 個月", " 天") &amp; "稅額。" &amp; CHAR(10) &amp; "【計算】" &amp; TEXT(D20,"#,##0") &amp; " * (" &amp; IF(D31&gt;0, AB13, AB12) &amp; " / " &amp; AB6 &amp; ") = " &amp; TEXT(E20,"#,##0"), "無需找補")</f>
        <v/>
      </c>
      <c r="G31" s="86" t="n"/>
      <c r="H31" s="86" t="n"/>
    </row>
    <row r="32" ht="32" customHeight="1">
      <c r="A32" s="59" t="inlineStr">
        <is>
          <t>管理費找補</t>
        </is>
      </c>
      <c r="B32" s="59" t="n"/>
      <c r="C32" s="59" t="n"/>
      <c r="D32" s="84">
        <f>AB21</f>
        <v/>
      </c>
      <c r="E32" s="85">
        <f>AB24</f>
        <v/>
      </c>
      <c r="F32" s="86">
        <f>IF(D32&gt;0, IF(AA20="","待確認", IF((AA20 &gt;= AA2), IF((TEXT(AA2,"yyyymm")=TEXT(AA20,"yyyymm")), "【買方補貼預繳】" &amp; CHAR(10) &amp; "$" &amp; TEXT(B22,"#,##0") &amp; " × (" &amp; (AA20-AA2+AA4) &amp; "/" &amp; DAY(EOMONTH(AA2,0)) &amp; ")", IF(((YEAR(AA20)-YEAR(AA2))*12 + MONTH(AA20)-MONTH(AA2) &gt; 1), "【買方補貼預繳】(跨月)" &amp; CHAR(10) &amp; "$" &amp; TEXT(B22,"0") &amp; "*(" &amp; (DAY(EOMONTH(AA2,0))-DAY(AA2)+AA4) &amp; "/" &amp; DAY(EOMONTH(AA2,0)) &amp; ") + $" &amp; TEXT(B22,"0") &amp; "*(" &amp; DAY(AA20) &amp; "/" &amp; DAY(EOMONTH(AA20,0)) &amp; ")" &amp; " +...", "【買方補貼預繳】(跨月)" &amp; CHAR(10) &amp; "$" &amp; TEXT(B22,"0") &amp; "*(" &amp; (DAY(EOMONTH(AA2,0))-DAY(AA2)+AA4) &amp; "/" &amp; DAY(EOMONTH(AA2,0)) &amp; ") + $" &amp; TEXT(B22,"0") &amp; "*(" &amp; DAY(AA20) &amp; "/" &amp; DAY(EOMONTH(AA20,0)) &amp; ")")), IF((TEXT((AA20+1),"yyyymm")=TEXT((AA2-IF(AA4,0,1)),"yyyymm")), "【賣方補足欠費】" &amp; CHAR(10) &amp; "$" &amp; TEXT(B22,"#,##0") &amp; " × (" &amp; ((AA2-IF(AA4,0,1))-(AA20+1)+1) &amp; "/" &amp; DAY(EOMONTH((AA20+1),0)) &amp; ")", IF(((YEAR((AA2-IF(AA4,0,1)))-YEAR((AA20+1)))*12 + MONTH((AA2-IF(AA4,0,1)))-MONTH((AA20+1)) &gt; 1), "【賣方補足欠費】(跨月)" &amp; CHAR(10) &amp; "$" &amp; TEXT(B22,"0") &amp; "*(" &amp; (DAY(EOMONTH((AA20+1),0))-DAY((AA20+1))+1) &amp; "/" &amp; DAY(EOMONTH((AA20+1),0)) &amp; ") + $" &amp; TEXT(B22,"0") &amp; "*(" &amp; DAY((AA2-IF(AA4,0,1))) &amp; "/" &amp; DAY(EOMONTH((AA2-IF(AA4,0,1)),0)) &amp; ")" &amp; " +...", "【賣方補足欠費】(跨月)" &amp; CHAR(10) &amp; "$" &amp; TEXT(B22,"0") &amp; "*(" &amp; (DAY(EOMONTH((AA20+1),0))-DAY((AA20+1))+1) &amp; "/" &amp; DAY(EOMONTH((AA20+1),0)) &amp; ") + $" &amp; TEXT(B22,"0") &amp; "*(" &amp; DAY((AA2-IF(AA4,0,1))) &amp; "/" &amp; DAY(EOMONTH((AA2-IF(AA4,0,1)),0)) &amp; ")")))), IF(E32&gt;0, IF(AA20="","待確認", IF((AA20 &gt;= AA2), IF((TEXT(AA2,"yyyymm")=TEXT(AA20,"yyyymm")), "【買方補貼預繳】" &amp; CHAR(10) &amp; "$" &amp; TEXT(B22,"#,##0") &amp; " × (" &amp; (AA20-AA2+AA4) &amp; "/" &amp; DAY(EOMONTH(AA2,0)) &amp; ")", IF(((YEAR(AA20)-YEAR(AA2))*12 + MONTH(AA20)-MONTH(AA2) &gt; 1), "【買方補貼預繳】(跨月)" &amp; CHAR(10) &amp; "$" &amp; TEXT(B22,"0") &amp; "*(" &amp; (DAY(EOMONTH(AA2,0))-DAY(AA2)+AA4) &amp; "/" &amp; DAY(EOMONTH(AA2,0)) &amp; ") + $" &amp; TEXT(B22,"0") &amp; "*(" &amp; DAY(AA20) &amp; "/" &amp; DAY(EOMONTH(AA20,0)) &amp; ")" &amp; " +...", "【買方補貼預繳】(跨月)" &amp; CHAR(10) &amp; "$" &amp; TEXT(B22,"0") &amp; "*(" &amp; (DAY(EOMONTH(AA2,0))-DAY(AA2)+AA4) &amp; "/" &amp; DAY(EOMONTH(AA2,0)) &amp; ") + $" &amp; TEXT(B22,"0") &amp; "*(" &amp; DAY(AA20) &amp; "/" &amp; DAY(EOMONTH(AA20,0)) &amp; ")")), IF((TEXT((AA20+1),"yyyymm")=TEXT((AA2-IF(AA4,0,1)),"yyyymm")), "【賣方補足欠費】" &amp; CHAR(10) &amp; "$" &amp; TEXT(B22,"#,##0") &amp; " × (" &amp; ((AA2-IF(AA4,0,1))-(AA20+1)+1) &amp; "/" &amp; DAY(EOMONTH((AA20+1),0)) &amp; ")", IF(((YEAR((AA2-IF(AA4,0,1)))-YEAR((AA20+1)))*12 + MONTH((AA2-IF(AA4,0,1)))-MONTH((AA20+1)) &gt; 1), "【賣方補足欠費】(跨月)" &amp; CHAR(10) &amp; "$" &amp; TEXT(B22,"0") &amp; "*(" &amp; (DAY(EOMONTH((AA20+1),0))-DAY((AA20+1))+1) &amp; "/" &amp; DAY(EOMONTH((AA20+1),0)) &amp; ") + $" &amp; TEXT(B22,"0") &amp; "*(" &amp; DAY((AA2-IF(AA4,0,1))) &amp; "/" &amp; DAY(EOMONTH((AA2-IF(AA4,0,1)),0)) &amp; ")" &amp; " +...", "【賣方補足欠費】(跨月)" &amp; CHAR(10) &amp; "$" &amp; TEXT(B22,"0") &amp; "*(" &amp; (DAY(EOMONTH((AA20+1),0))-DAY((AA20+1))+1) &amp; "/" &amp; DAY(EOMONTH((AA20+1),0)) &amp; ") + $" &amp; TEXT(B22,"0") &amp; "*(" &amp; DAY((AA2-IF(AA4,0,1))) &amp; "/" &amp; DAY(EOMONTH((AA2-IF(AA4,0,1)),0)) &amp; ")")))), "無需找補"))</f>
        <v/>
      </c>
      <c r="G32" s="86" t="n"/>
      <c r="H32" s="86" t="n"/>
    </row>
    <row r="33" ht="32" customHeight="1">
      <c r="A33" s="59" t="inlineStr">
        <is>
          <t>車位費找補</t>
        </is>
      </c>
      <c r="B33" s="59" t="n"/>
      <c r="C33" s="59" t="n"/>
      <c r="D33" s="84">
        <f>AB22</f>
        <v/>
      </c>
      <c r="E33" s="85">
        <f>AB25</f>
        <v/>
      </c>
      <c r="F33" s="86">
        <f>IF(D33&gt;0, IF(AA21="","待確認", IF((AA21 &gt;= AA2), IF((TEXT(AA2,"yyyymm")=TEXT(AA21,"yyyymm")), "【買方補貼預繳】" &amp; CHAR(10) &amp; "$" &amp; TEXT(B23,"#,##0") &amp; " × (" &amp; (AA21-AA2+AA4) &amp; "/" &amp; DAY(EOMONTH(AA2,0)) &amp; ")", IF(((YEAR(AA21)-YEAR(AA2))*12 + MONTH(AA21)-MONTH(AA2) &gt; 1), "【買方補貼預繳】(跨月)" &amp; CHAR(10) &amp; "$" &amp; TEXT(B23,"0") &amp; "*(" &amp; (DAY(EOMONTH(AA2,0))-DAY(AA2)+AA4) &amp; "/" &amp; DAY(EOMONTH(AA2,0)) &amp; ") + $" &amp; TEXT(B23,"0") &amp; "*(" &amp; DAY(AA21) &amp; "/" &amp; DAY(EOMONTH(AA21,0)) &amp; ")" &amp; " +...", "【買方補貼預繳】(跨月)" &amp; CHAR(10) &amp; "$" &amp; TEXT(B23,"0") &amp; "*(" &amp; (DAY(EOMONTH(AA2,0))-DAY(AA2)+AA4) &amp; "/" &amp; DAY(EOMONTH(AA2,0)) &amp; ") + $" &amp; TEXT(B23,"0") &amp; "*(" &amp; DAY(AA21) &amp; "/" &amp; DAY(EOMONTH(AA21,0)) &amp; ")")), IF((TEXT((AA21+1),"yyyymm")=TEXT((AA2-IF(AA4,0,1)),"yyyymm")), "【賣方補足欠費】" &amp; CHAR(10) &amp; "$" &amp; TEXT(B23,"#,##0") &amp; " × (" &amp; ((AA2-IF(AA4,0,1))-(AA21+1)+1) &amp; "/" &amp; DAY(EOMONTH((AA21+1),0)) &amp; ")", IF(((YEAR((AA2-IF(AA4,0,1)))-YEAR((AA21+1)))*12 + MONTH((AA2-IF(AA4,0,1)))-MONTH((AA21+1)) &gt; 1), "【賣方補足欠費】(跨月)" &amp; CHAR(10) &amp; "$" &amp; TEXT(B23,"0") &amp; "*(" &amp; (DAY(EOMONTH((AA21+1),0))-DAY((AA21+1))+1) &amp; "/" &amp; DAY(EOMONTH((AA21+1),0)) &amp; ") + $" &amp; TEXT(B23,"0") &amp; "*(" &amp; DAY((AA2-IF(AA4,0,1))) &amp; "/" &amp; DAY(EOMONTH((AA2-IF(AA4,0,1)),0)) &amp; ")" &amp; " +...", "【賣方補足欠費】(跨月)" &amp; CHAR(10) &amp; "$" &amp; TEXT(B23,"0") &amp; "*(" &amp; (DAY(EOMONTH((AA21+1),0))-DAY((AA21+1))+1) &amp; "/" &amp; DAY(EOMONTH((AA21+1),0)) &amp; ") + $" &amp; TEXT(B23,"0") &amp; "*(" &amp; DAY((AA2-IF(AA4,0,1))) &amp; "/" &amp; DAY(EOMONTH((AA2-IF(AA4,0,1)),0)) &amp; ")")))), IF(E33&gt;0, IF(AA21="","待確認", IF((AA21 &gt;= AA2), IF((TEXT(AA2,"yyyymm")=TEXT(AA21,"yyyymm")), "【買方補貼預繳】" &amp; CHAR(10) &amp; "$" &amp; TEXT(B23,"#,##0") &amp; " × (" &amp; (AA21-AA2+AA4) &amp; "/" &amp; DAY(EOMONTH(AA2,0)) &amp; ")", IF(((YEAR(AA21)-YEAR(AA2))*12 + MONTH(AA21)-MONTH(AA2) &gt; 1), "【買方補貼預繳】(跨月)" &amp; CHAR(10) &amp; "$" &amp; TEXT(B23,"0") &amp; "*(" &amp; (DAY(EOMONTH(AA2,0))-DAY(AA2)+AA4) &amp; "/" &amp; DAY(EOMONTH(AA2,0)) &amp; ") + $" &amp; TEXT(B23,"0") &amp; "*(" &amp; DAY(AA21) &amp; "/" &amp; DAY(EOMONTH(AA21,0)) &amp; ")" &amp; " +...", "【買方補貼預繳】(跨月)" &amp; CHAR(10) &amp; "$" &amp; TEXT(B23,"0") &amp; "*(" &amp; (DAY(EOMONTH(AA2,0))-DAY(AA2)+AA4) &amp; "/" &amp; DAY(EOMONTH(AA2,0)) &amp; ") + $" &amp; TEXT(B23,"0") &amp; "*(" &amp; DAY(AA21) &amp; "/" &amp; DAY(EOMONTH(AA21,0)) &amp; ")")), IF((TEXT((AA21+1),"yyyymm")=TEXT((AA2-IF(AA4,0,1)),"yyyymm")), "【賣方補足欠費】" &amp; CHAR(10) &amp; "$" &amp; TEXT(B23,"#,##0") &amp; " × (" &amp; ((AA2-IF(AA4,0,1))-(AA21+1)+1) &amp; "/" &amp; DAY(EOMONTH((AA21+1),0)) &amp; ")", IF(((YEAR((AA2-IF(AA4,0,1)))-YEAR((AA21+1)))*12 + MONTH((AA2-IF(AA4,0,1)))-MONTH((AA21+1)) &gt; 1), "【賣方補足欠費】(跨月)" &amp; CHAR(10) &amp; "$" &amp; TEXT(B23,"0") &amp; "*(" &amp; (DAY(EOMONTH((AA21+1),0))-DAY((AA21+1))+1) &amp; "/" &amp; DAY(EOMONTH((AA21+1),0)) &amp; ") + $" &amp; TEXT(B23,"0") &amp; "*(" &amp; DAY((AA2-IF(AA4,0,1))) &amp; "/" &amp; DAY(EOMONTH((AA2-IF(AA4,0,1)),0)) &amp; ")" &amp; " +...", "【賣方補足欠費】(跨月)" &amp; CHAR(10) &amp; "$" &amp; TEXT(B23,"0") &amp; "*(" &amp; (DAY(EOMONTH((AA21+1),0))-DAY((AA21+1))+1) &amp; "/" &amp; DAY(EOMONTH((AA21+1),0)) &amp; ") + $" &amp; TEXT(B23,"0") &amp; "*(" &amp; DAY((AA2-IF(AA4,0,1))) &amp; "/" &amp; DAY(EOMONTH((AA2-IF(AA4,0,1)),0)) &amp; ")")))), "無需找補"))</f>
        <v/>
      </c>
      <c r="G33" s="86" t="n"/>
      <c r="H33" s="86" t="n"/>
    </row>
    <row r="34" ht="32" customHeight="1">
      <c r="A34" s="59" t="inlineStr">
        <is>
          <t>租金/押金找補總額</t>
        </is>
      </c>
      <c r="B34" s="59" t="n"/>
      <c r="C34" s="59" t="n"/>
      <c r="D34" s="84">
        <f>'交屋租金分算表'!J28</f>
        <v/>
      </c>
      <c r="E34" s="85">
        <f>'交屋租金分算表'!D28</f>
        <v/>
      </c>
      <c r="F34" s="86">
        <f>"詳見【交屋租金分算表】。賣方應付小計(含押金轉移) vs 買方應付小計(含欠租補貼)"</f>
        <v/>
      </c>
      <c r="G34" s="86" t="n"/>
      <c r="H34" s="86" t="n"/>
    </row>
    <row r="35" ht="32" customHeight="1">
      <c r="A35" s="59" t="inlineStr">
        <is>
          <t>水電瓦斯溢繳</t>
        </is>
      </c>
      <c r="B35" s="59" t="n"/>
      <c r="C35" s="59" t="n"/>
      <c r="D35" s="84">
        <f>SUM(B25:B27)</f>
        <v/>
      </c>
      <c r="E35" s="85">
        <f>0</f>
        <v/>
      </c>
      <c r="F35" s="86">
        <f>"明細：水費$" &amp; TEXT(B25,"#,##0") &amp; " + 電費$" &amp; TEXT(B26,"#,##0") &amp; " + 瓦斯$" &amp; TEXT(B27,"#,##0") &amp; " = 總計$" &amp; TEXT(D35,"#,##0")</f>
        <v/>
      </c>
      <c r="G35" s="86" t="n"/>
      <c r="H35" s="86" t="n"/>
    </row>
    <row r="36" ht="32" customHeight="1">
      <c r="A36" s="59" t="inlineStr">
        <is>
          <t>其他 (買方補貼賣方)</t>
        </is>
      </c>
      <c r="B36" s="59" t="n"/>
      <c r="C36" s="59" t="n"/>
      <c r="D36" s="87" t="n"/>
      <c r="E36" s="85" t="n">
        <v>0</v>
      </c>
      <c r="F36" s="86" t="inlineStr">
        <is>
          <t>手動輸入雙方約定之其他費用 (應付賣方)</t>
        </is>
      </c>
      <c r="G36" s="86" t="n"/>
      <c r="H36" s="86" t="n"/>
    </row>
    <row r="37" ht="32" customHeight="1">
      <c r="A37" s="59" t="inlineStr">
        <is>
          <t>其他 (賣方補貼買方)</t>
        </is>
      </c>
      <c r="B37" s="59" t="n"/>
      <c r="C37" s="59" t="n"/>
      <c r="D37" s="84" t="n">
        <v>0</v>
      </c>
      <c r="E37" s="88" t="n"/>
      <c r="F37" s="86" t="inlineStr">
        <is>
          <t>手動輸入雙方約定之其他費用 (應付買方)</t>
        </is>
      </c>
      <c r="G37" s="86" t="n"/>
      <c r="H37" s="86" t="n"/>
    </row>
    <row r="38" ht="32" customHeight="1">
      <c r="A38" s="59" t="inlineStr">
        <is>
          <t>款項小計</t>
        </is>
      </c>
      <c r="B38" s="59" t="n"/>
      <c r="C38" s="59" t="n"/>
      <c r="D38" s="84">
        <f>SUM(D30:D37)</f>
        <v/>
      </c>
      <c r="E38" s="85">
        <f>SUM(E30:E37)</f>
        <v/>
      </c>
      <c r="F38" s="63" t="n"/>
      <c r="G38" s="63" t="n"/>
      <c r="H38" s="63" t="n"/>
    </row>
    <row r="39" ht="55" customHeight="1">
      <c r="A39" s="89" t="inlineStr">
        <is>
          <t>最終結算結果</t>
        </is>
      </c>
      <c r="B39" s="90" t="n"/>
      <c r="C39" s="91">
        <f>IF(D38&gt;E38, "【買方】應支付給【賣方】 NT$ " &amp; TEXT(D38-E38, "#,##0"), IF(E38&gt;D38, "【賣方】應支付給【買方】 NT$ " &amp; TEXT(E38-D38, "#,##0"), "雙方無需找補"))</f>
        <v/>
      </c>
      <c r="D39" s="90" t="n"/>
      <c r="E39" s="90" t="n"/>
      <c r="F39" s="90" t="n"/>
      <c r="G39" s="90" t="n"/>
      <c r="H39" s="90" t="n"/>
    </row>
    <row r="40" ht="32" customHeight="1">
      <c r="A40" s="90" t="n"/>
      <c r="B40" s="90" t="n"/>
      <c r="C40" s="90" t="n"/>
      <c r="D40" s="90" t="n"/>
      <c r="E40" s="90" t="n"/>
      <c r="F40" s="90" t="n"/>
      <c r="G40" s="90" t="n"/>
      <c r="H40" s="90" t="n"/>
    </row>
    <row r="41" ht="32" customHeight="1"/>
    <row r="42" ht="32" customHeight="1">
      <c r="A42" s="92" t="inlineStr">
        <is>
          <t>工具開發：陳定康 (Integrated Version)</t>
        </is>
      </c>
    </row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D1"/>
  <mergeCells count="51">
    <mergeCell ref="A15:B15"/>
    <mergeCell ref="E19:G19"/>
    <mergeCell ref="F36:H36"/>
    <mergeCell ref="G2:H2"/>
    <mergeCell ref="D10:H10"/>
    <mergeCell ref="A24:H24"/>
    <mergeCell ref="F33:H33"/>
    <mergeCell ref="A37:C37"/>
    <mergeCell ref="C39:H40"/>
    <mergeCell ref="F32:H32"/>
    <mergeCell ref="F35:H35"/>
    <mergeCell ref="D22:E22"/>
    <mergeCell ref="G23:H23"/>
    <mergeCell ref="A1:H1"/>
    <mergeCell ref="A16:B16"/>
    <mergeCell ref="A33:C33"/>
    <mergeCell ref="D2:E2"/>
    <mergeCell ref="F31:H31"/>
    <mergeCell ref="D13:E13"/>
    <mergeCell ref="A32:C32"/>
    <mergeCell ref="F30:H30"/>
    <mergeCell ref="A29:C29"/>
    <mergeCell ref="A35:C35"/>
    <mergeCell ref="A3:B3"/>
    <mergeCell ref="F3:H4"/>
    <mergeCell ref="F37:H37"/>
    <mergeCell ref="A38:C38"/>
    <mergeCell ref="A12:B12"/>
    <mergeCell ref="A39:B40"/>
    <mergeCell ref="A2:B2"/>
    <mergeCell ref="A21:H21"/>
    <mergeCell ref="A31:C31"/>
    <mergeCell ref="A42:H42"/>
    <mergeCell ref="E18:G18"/>
    <mergeCell ref="D4:E4"/>
    <mergeCell ref="A14:H14"/>
    <mergeCell ref="A30:C30"/>
    <mergeCell ref="A5:H5"/>
    <mergeCell ref="A34:C34"/>
    <mergeCell ref="D3:E3"/>
    <mergeCell ref="F29:H29"/>
    <mergeCell ref="A17:H17"/>
    <mergeCell ref="A4:B4"/>
    <mergeCell ref="F34:H34"/>
    <mergeCell ref="A36:C36"/>
    <mergeCell ref="A10:B10"/>
    <mergeCell ref="D23:E23"/>
    <mergeCell ref="A28:H28"/>
    <mergeCell ref="A13:B13"/>
    <mergeCell ref="G22:H22"/>
    <mergeCell ref="E20:G20"/>
  </mergeCells>
  <dataValidations count="3">
    <dataValidation sqref="C4" showDropDown="0" showInputMessage="0" showErrorMessage="0" allowBlank="0" type="list">
      <formula1>"是,否"</formula1>
    </dataValidation>
    <dataValidation sqref="F7:F9" showDropDown="0" showInputMessage="0" showErrorMessage="0" allowBlank="0" type="list">
      <formula1>"自用住宅 (2‰),一般用地 (10‰)"</formula1>
    </dataValidation>
    <dataValidation sqref="C13" showDropDown="0" showInputMessage="0" showErrorMessage="0" allowBlank="0" type="list">
      <formula1>=稅率表!$A$2:$A$15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房屋使用情境選項</t>
        </is>
      </c>
      <c r="B1" t="inlineStr">
        <is>
          <t>對應稅率</t>
        </is>
      </c>
    </row>
    <row r="2">
      <c r="A2" t="inlineStr">
        <is>
          <t>自住用-全國單一自住(現值一定金額下)</t>
        </is>
      </c>
      <c r="B2" t="n">
        <v>0.01</v>
      </c>
    </row>
    <row r="3">
      <c r="A3" t="inlineStr">
        <is>
          <t>自住用-全國3戶內</t>
        </is>
      </c>
      <c r="B3" t="n">
        <v>0.012</v>
      </c>
    </row>
    <row r="4">
      <c r="A4" t="inlineStr">
        <is>
          <t>公益出租人/社會住宅</t>
        </is>
      </c>
      <c r="B4" t="n">
        <v>0.012</v>
      </c>
    </row>
    <row r="5">
      <c r="A5" t="inlineStr">
        <is>
          <t>非自住-出租(達租金標準)/繼承共有-4戶內</t>
        </is>
      </c>
      <c r="B5" t="n">
        <v>0.015</v>
      </c>
    </row>
    <row r="6">
      <c r="A6" t="inlineStr">
        <is>
          <t>非自住-出租(達租金標準)/繼承共有-5~6戶</t>
        </is>
      </c>
      <c r="B6" t="n">
        <v>0.02</v>
      </c>
    </row>
    <row r="7">
      <c r="A7" t="inlineStr">
        <is>
          <t>非自住-出租(達租金標準)/繼承共有-7戶以上</t>
        </is>
      </c>
      <c r="B7" t="n">
        <v>0.024</v>
      </c>
    </row>
    <row r="8">
      <c r="A8" t="inlineStr">
        <is>
          <t>非自住-其他住家用-2戶內</t>
        </is>
      </c>
      <c r="B8" t="n">
        <v>0.032</v>
      </c>
    </row>
    <row r="9">
      <c r="A9" t="inlineStr">
        <is>
          <t>非自住-其他住家用-3~4戶</t>
        </is>
      </c>
      <c r="B9" t="n">
        <v>0.038</v>
      </c>
    </row>
    <row r="10">
      <c r="A10" t="inlineStr">
        <is>
          <t>非自住-其他住家用-5~6戶</t>
        </is>
      </c>
      <c r="B10" t="n">
        <v>0.042</v>
      </c>
    </row>
    <row r="11">
      <c r="A11" t="inlineStr">
        <is>
          <t>非自住-其他住家用-7戶以上</t>
        </is>
      </c>
      <c r="B11" t="n">
        <v>0.048</v>
      </c>
    </row>
    <row r="12">
      <c r="A12" t="inlineStr">
        <is>
          <t>營業用</t>
        </is>
      </c>
      <c r="B12" t="n">
        <v>0.03</v>
      </c>
    </row>
    <row r="13">
      <c r="A13" t="inlineStr">
        <is>
          <t>私人醫院/診所/事務所用</t>
        </is>
      </c>
      <c r="B13" t="n">
        <v>0.03</v>
      </c>
    </row>
    <row r="14">
      <c r="A14" t="inlineStr">
        <is>
          <t>非住家非營業用(人民團體等)</t>
        </is>
      </c>
      <c r="B1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2025-11-30T09:17:54Z</dcterms:created>
  <dcterms:modified xmlns:dcterms="http://purl.org/dc/terms/" xmlns:xsi="http://www.w3.org/2001/XMLSchema-instance" xsi:type="dcterms:W3CDTF">2025-11-30T09:17:54Z</dcterms:modified>
</cp:coreProperties>
</file>