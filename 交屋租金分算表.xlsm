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GitHub\TAX-COMPUTE\"/>
    </mc:Choice>
  </mc:AlternateContent>
  <xr:revisionPtr revIDLastSave="0" documentId="13_ncr:1_{0C2861BB-0161-4932-A74D-1F43E7A521D2}" xr6:coauthVersionLast="47" xr6:coauthVersionMax="47" xr10:uidLastSave="{00000000-0000-0000-0000-000000000000}"/>
  <bookViews>
    <workbookView xWindow="21480" yWindow="-120" windowWidth="29040" windowHeight="15720" xr2:uid="{00000000-000D-0000-FFFF-FFFF00000000}"/>
  </bookViews>
  <sheets>
    <sheet name="交屋分算(費用明細)" sheetId="1" r:id="rId1"/>
  </sheets>
  <definedNames>
    <definedName name="_xlnm.Print_Titles" localSheetId="0">'交屋分算(費用明細)'!$7:$7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1" l="1"/>
  <c r="D22" i="1"/>
  <c r="J19" i="1"/>
  <c r="I19" i="1"/>
  <c r="H19" i="1"/>
  <c r="G19" i="1"/>
  <c r="J18" i="1"/>
  <c r="I18" i="1"/>
  <c r="H18" i="1"/>
  <c r="G18" i="1"/>
  <c r="J17" i="1"/>
  <c r="I17" i="1"/>
  <c r="H17" i="1"/>
  <c r="G17" i="1"/>
  <c r="J16" i="1"/>
  <c r="I16" i="1"/>
  <c r="H16" i="1"/>
  <c r="G16" i="1"/>
  <c r="J15" i="1"/>
  <c r="I15" i="1"/>
  <c r="H15" i="1"/>
  <c r="G15" i="1"/>
  <c r="J14" i="1"/>
  <c r="I14" i="1"/>
  <c r="H14" i="1"/>
  <c r="G14" i="1"/>
  <c r="J13" i="1"/>
  <c r="I13" i="1"/>
  <c r="H13" i="1"/>
  <c r="G13" i="1"/>
  <c r="J12" i="1"/>
  <c r="I12" i="1"/>
  <c r="H12" i="1"/>
  <c r="G12" i="1"/>
  <c r="J11" i="1"/>
  <c r="I11" i="1"/>
  <c r="H11" i="1"/>
  <c r="G11" i="1"/>
  <c r="J10" i="1"/>
  <c r="I10" i="1"/>
  <c r="H10" i="1"/>
  <c r="G10" i="1"/>
  <c r="J9" i="1"/>
  <c r="I9" i="1"/>
  <c r="H9" i="1"/>
  <c r="G9" i="1"/>
  <c r="J8" i="1"/>
  <c r="I8" i="1"/>
  <c r="H8" i="1"/>
  <c r="G8" i="1"/>
  <c r="C5" i="1"/>
  <c r="C4" i="1"/>
  <c r="D23" i="1" l="1"/>
  <c r="D30" i="1" s="1"/>
  <c r="J22" i="1"/>
  <c r="J30" i="1" s="1"/>
  <c r="K31" i="1" l="1"/>
  <c r="A31" i="1" s="1"/>
</calcChain>
</file>

<file path=xl/sharedStrings.xml><?xml version="1.0" encoding="utf-8"?>
<sst xmlns="http://schemas.openxmlformats.org/spreadsheetml/2006/main" count="35" uniqueCount="34">
  <si>
    <t>交屋租金分算表</t>
  </si>
  <si>
    <t>買方:</t>
  </si>
  <si>
    <t>賣方:</t>
  </si>
  <si>
    <t>房屋地址:</t>
  </si>
  <si>
    <t>(買賣雙方合意如租金有誤時，雙方另行找補)</t>
  </si>
  <si>
    <t>交屋日算誰的</t>
  </si>
  <si>
    <t>計算基準</t>
  </si>
  <si>
    <t>精確分段計算</t>
  </si>
  <si>
    <t>房號/租客</t>
  </si>
  <si>
    <t>租期起</t>
  </si>
  <si>
    <t>租期訖</t>
  </si>
  <si>
    <t>月租金</t>
  </si>
  <si>
    <t>押金</t>
  </si>
  <si>
    <t>租客已繳至</t>
  </si>
  <si>
    <t>賣方補貼買方
(計算詳情)</t>
  </si>
  <si>
    <t>補貼金額</t>
  </si>
  <si>
    <t>買方補貼賣方
(計算詳情)</t>
  </si>
  <si>
    <t>賣方應付項目 (Debits)</t>
  </si>
  <si>
    <t>買方應付項目及費用 (Credits)</t>
  </si>
  <si>
    <t>1. 押金移轉</t>
  </si>
  <si>
    <t>2. 賣方補貼買方 (預收租金)</t>
  </si>
  <si>
    <t>賣方應付小計</t>
  </si>
  <si>
    <t>買方應付小計</t>
  </si>
  <si>
    <t>買方簽章：____________________</t>
  </si>
  <si>
    <t>賣方簽章：____________________</t>
  </si>
  <si>
    <t>交屋日期</t>
    <phoneticPr fontId="11" type="noConversion"/>
  </si>
  <si>
    <t>1. 買方補貼賣方 (租客欠繳租金)</t>
    <phoneticPr fontId="11" type="noConversion"/>
  </si>
  <si>
    <t>歸賣方</t>
    <phoneticPr fontId="11" type="noConversion"/>
  </si>
  <si>
    <t>2.機上盒保證金</t>
    <phoneticPr fontId="11" type="noConversion"/>
  </si>
  <si>
    <t>3.有線電視</t>
    <phoneticPr fontId="11" type="noConversion"/>
  </si>
  <si>
    <t>4.網路</t>
    <phoneticPr fontId="11" type="noConversion"/>
  </si>
  <si>
    <t>5.監視器</t>
    <phoneticPr fontId="11" type="noConversion"/>
  </si>
  <si>
    <t>6.寬頻押金</t>
    <phoneticPr fontId="11" type="noConversion"/>
  </si>
  <si>
    <t>3.其他費用</t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</si>
</sst>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新細明體"/>
      <family val="2"/>
      <scheme val="minor"/>
    </font>
    <font>
      <b/>
      <sz val="18"/>
      <color rgb="FF1E293B"/>
      <name val="微軟正黑體"/>
      <family val="2"/>
      <charset val="136"/>
    </font>
    <font>
      <b/>
      <sz val="11"/>
      <color rgb="FFFFFFFF"/>
      <name val="微軟正黑體"/>
      <family val="2"/>
      <charset val="136"/>
    </font>
    <font>
      <b/>
      <sz val="11"/>
      <color rgb="FF0F172A"/>
      <name val="微軟正黑體"/>
      <family val="2"/>
      <charset val="136"/>
    </font>
    <font>
      <b/>
      <sz val="10"/>
      <color rgb="FFE11D48"/>
      <name val="微軟正黑體"/>
      <family val="2"/>
      <charset val="136"/>
    </font>
    <font>
      <sz val="9"/>
      <color rgb="FF64748B"/>
      <name val="微軟正黑體"/>
      <family val="2"/>
      <charset val="136"/>
    </font>
    <font>
      <sz val="11"/>
      <color rgb="FF334155"/>
      <name val="微軟正黑體"/>
      <family val="2"/>
      <charset val="136"/>
    </font>
    <font>
      <b/>
      <sz val="10"/>
      <color rgb="FF881337"/>
      <name val="微軟正黑體"/>
      <family val="2"/>
      <charset val="136"/>
    </font>
    <font>
      <b/>
      <sz val="10"/>
      <color rgb="FF064E3B"/>
      <name val="微軟正黑體"/>
      <family val="2"/>
      <charset val="136"/>
    </font>
    <font>
      <b/>
      <sz val="11"/>
      <color rgb="FF1E293B"/>
      <name val="微軟正黑體"/>
      <family val="2"/>
      <charset val="136"/>
    </font>
    <font>
      <b/>
      <sz val="14"/>
      <color rgb="FF9A3412"/>
      <name val="微軟正黑體"/>
      <family val="2"/>
      <charset val="136"/>
    </font>
    <font>
      <sz val="9"/>
      <name val="新細明體"/>
      <family val="3"/>
      <charset val="136"/>
      <scheme val="minor"/>
    </font>
    <font>
      <b/>
      <i/>
      <sz val="10"/>
      <color rgb="FF94A3B8"/>
      <name val="Consolas"/>
      <family val="3"/>
    </font>
  </fonts>
  <fills count="12">
    <fill>
      <patternFill patternType="none"/>
    </fill>
    <fill>
      <patternFill patternType="gray125"/>
    </fill>
    <fill>
      <patternFill patternType="solid">
        <fgColor rgb="FF1E293B"/>
      </patternFill>
    </fill>
    <fill>
      <patternFill patternType="solid">
        <fgColor rgb="FFFFFFFF"/>
      </patternFill>
    </fill>
    <fill>
      <patternFill patternType="solid">
        <fgColor rgb="FFF1F5F9"/>
      </patternFill>
    </fill>
    <fill>
      <patternFill patternType="solid">
        <fgColor rgb="FF64748B"/>
      </patternFill>
    </fill>
    <fill>
      <patternFill patternType="solid">
        <fgColor rgb="FF059669"/>
      </patternFill>
    </fill>
    <fill>
      <patternFill patternType="solid">
        <fgColor rgb="FFFFF1F2"/>
      </patternFill>
    </fill>
    <fill>
      <patternFill patternType="solid">
        <fgColor rgb="FFECFDF5"/>
      </patternFill>
    </fill>
    <fill>
      <patternFill patternType="solid">
        <fgColor rgb="FFE11D48"/>
      </patternFill>
    </fill>
    <fill>
      <patternFill patternType="solid">
        <fgColor rgb="FFFFEDD5"/>
      </patternFill>
    </fill>
    <fill>
      <patternFill patternType="solid">
        <fgColor rgb="FFF8FAFC"/>
      </patternFill>
    </fill>
  </fills>
  <borders count="34"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  <border>
      <left/>
      <right/>
      <top style="thin">
        <color rgb="FFCBD5E1"/>
      </top>
      <bottom style="thin">
        <color rgb="FFCBD5E1"/>
      </bottom>
      <diagonal/>
    </border>
    <border>
      <left/>
      <right style="thin">
        <color rgb="FFCBD5E1"/>
      </right>
      <top style="thin">
        <color rgb="FFCBD5E1"/>
      </top>
      <bottom style="thin">
        <color rgb="FFCBD5E1"/>
      </bottom>
      <diagonal/>
    </border>
    <border>
      <left style="thin">
        <color rgb="FFCBD5E1"/>
      </left>
      <right style="medium">
        <color rgb="FF334155"/>
      </right>
      <top style="thin">
        <color rgb="FFCBD5E1"/>
      </top>
      <bottom style="thin">
        <color rgb="FFCBD5E1"/>
      </bottom>
      <diagonal/>
    </border>
    <border>
      <left style="thin">
        <color rgb="FFCBD5E1"/>
      </left>
      <right style="thin">
        <color rgb="FFCBD5E1"/>
      </right>
      <top style="thick">
        <color rgb="FF334155"/>
      </top>
      <bottom style="thin">
        <color rgb="FFCBD5E1"/>
      </bottom>
      <diagonal/>
    </border>
    <border>
      <left style="thin">
        <color rgb="FFCBD5E1"/>
      </left>
      <right style="medium">
        <color rgb="FF334155"/>
      </right>
      <top style="thick">
        <color rgb="FF334155"/>
      </top>
      <bottom style="thin">
        <color rgb="FFCBD5E1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ck">
        <color rgb="FF334155"/>
      </bottom>
      <diagonal/>
    </border>
    <border>
      <left style="thin">
        <color rgb="FFCBD5E1"/>
      </left>
      <right style="medium">
        <color rgb="FF334155"/>
      </right>
      <top style="thin">
        <color rgb="FFCBD5E1"/>
      </top>
      <bottom style="thick">
        <color rgb="FF334155"/>
      </bottom>
      <diagonal/>
    </border>
    <border>
      <left style="thick">
        <color rgb="FF334155"/>
      </left>
      <right style="thin">
        <color rgb="FFCBD5E1"/>
      </right>
      <top style="thick">
        <color rgb="FF334155"/>
      </top>
      <bottom style="thin">
        <color rgb="FFCBD5E1"/>
      </bottom>
      <diagonal/>
    </border>
    <border>
      <left style="thick">
        <color rgb="FF334155"/>
      </left>
      <right style="thin">
        <color rgb="FFCBD5E1"/>
      </right>
      <top style="thin">
        <color rgb="FFCBD5E1"/>
      </top>
      <bottom style="thin">
        <color rgb="FFCBD5E1"/>
      </bottom>
      <diagonal/>
    </border>
    <border>
      <left style="thick">
        <color rgb="FF334155"/>
      </left>
      <right style="thin">
        <color rgb="FFCBD5E1"/>
      </right>
      <top style="thin">
        <color rgb="FFCBD5E1"/>
      </top>
      <bottom style="thick">
        <color rgb="FF334155"/>
      </bottom>
      <diagonal/>
    </border>
    <border>
      <left style="thin">
        <color rgb="FFCBD5E1"/>
      </left>
      <right style="thick">
        <color rgb="FF334155"/>
      </right>
      <top style="thick">
        <color rgb="FF334155"/>
      </top>
      <bottom style="thin">
        <color rgb="FFCBD5E1"/>
      </bottom>
      <diagonal/>
    </border>
    <border>
      <left style="thin">
        <color rgb="FFCBD5E1"/>
      </left>
      <right style="thick">
        <color rgb="FF334155"/>
      </right>
      <top style="thin">
        <color rgb="FFCBD5E1"/>
      </top>
      <bottom style="thin">
        <color rgb="FFCBD5E1"/>
      </bottom>
      <diagonal/>
    </border>
    <border>
      <left style="thin">
        <color rgb="FFCBD5E1"/>
      </left>
      <right style="thick">
        <color rgb="FF334155"/>
      </right>
      <top style="thin">
        <color rgb="FFCBD5E1"/>
      </top>
      <bottom style="thick">
        <color rgb="FF334155"/>
      </bottom>
      <diagonal/>
    </border>
    <border>
      <left/>
      <right/>
      <top/>
      <bottom style="thick">
        <color rgb="FF334155"/>
      </bottom>
      <diagonal/>
    </border>
    <border>
      <left/>
      <right/>
      <top style="thick">
        <color rgb="FF334155"/>
      </top>
      <bottom style="thick">
        <color rgb="FF334155"/>
      </bottom>
      <diagonal/>
    </border>
    <border>
      <left style="thick">
        <color rgb="FF334155"/>
      </left>
      <right style="thin">
        <color rgb="FFCBD5E1"/>
      </right>
      <top style="thick">
        <color rgb="FF334155"/>
      </top>
      <bottom style="thick">
        <color rgb="FF334155"/>
      </bottom>
      <diagonal/>
    </border>
    <border>
      <left/>
      <right style="thick">
        <color rgb="FF334155"/>
      </right>
      <top style="thick">
        <color rgb="FF334155"/>
      </top>
      <bottom style="thick">
        <color rgb="FF334155"/>
      </bottom>
      <diagonal/>
    </border>
    <border>
      <left style="thin">
        <color rgb="FFCBD5E1"/>
      </left>
      <right/>
      <top/>
      <bottom style="thick">
        <color rgb="FF3341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334155"/>
      </left>
      <right style="thin">
        <color rgb="FFCBD5E1"/>
      </right>
      <top/>
      <bottom style="thick">
        <color rgb="FF334155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CBD5E1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CBD5E1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CBD5E1"/>
      </left>
      <right style="medium">
        <color indexed="64"/>
      </right>
      <top/>
      <bottom style="medium">
        <color indexed="64"/>
      </bottom>
      <diagonal/>
    </border>
    <border>
      <left/>
      <right style="thick">
        <color rgb="FF334155"/>
      </right>
      <top/>
      <bottom style="thick">
        <color rgb="FF334155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2" borderId="1" xfId="0" applyFont="1" applyFill="1" applyBorder="1" applyAlignment="1">
      <alignment horizontal="right" vertical="center" wrapText="1"/>
    </xf>
    <xf numFmtId="0" fontId="2" fillId="2" borderId="1" xfId="0" applyFont="1" applyFill="1" applyBorder="1" applyAlignment="1">
      <alignment horizontal="center" vertical="center" wrapText="1"/>
    </xf>
    <xf numFmtId="1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Alignment="1">
      <alignment horizontal="left" vertical="center" wrapText="1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6" fillId="4" borderId="1" xfId="0" applyFont="1" applyFill="1" applyBorder="1" applyAlignment="1">
      <alignment horizontal="center" vertical="center" wrapText="1"/>
    </xf>
    <xf numFmtId="0" fontId="2" fillId="5" borderId="9" xfId="0" applyFont="1" applyFill="1" applyBorder="1" applyAlignment="1">
      <alignment horizontal="center" vertical="center" wrapText="1"/>
    </xf>
    <xf numFmtId="0" fontId="2" fillId="5" borderId="5" xfId="0" applyFont="1" applyFill="1" applyBorder="1" applyAlignment="1">
      <alignment horizontal="center" vertical="center" wrapText="1"/>
    </xf>
    <xf numFmtId="0" fontId="2" fillId="5" borderId="6" xfId="0" applyFont="1" applyFill="1" applyBorder="1" applyAlignment="1">
      <alignment horizontal="center" vertical="center" wrapText="1"/>
    </xf>
    <xf numFmtId="0" fontId="2" fillId="6" borderId="5" xfId="0" applyFont="1" applyFill="1" applyBorder="1" applyAlignment="1">
      <alignment horizontal="center" vertical="center" wrapText="1"/>
    </xf>
    <xf numFmtId="0" fontId="2" fillId="5" borderId="12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 applyProtection="1">
      <alignment horizontal="center" vertical="center" wrapText="1"/>
      <protection locked="0"/>
    </xf>
    <xf numFmtId="1" fontId="6" fillId="3" borderId="1" xfId="0" applyNumberFormat="1" applyFont="1" applyFill="1" applyBorder="1" applyAlignment="1" applyProtection="1">
      <alignment horizontal="center" vertical="center" wrapText="1"/>
      <protection locked="0"/>
    </xf>
    <xf numFmtId="3" fontId="6" fillId="3" borderId="1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4" xfId="0" applyNumberFormat="1" applyFont="1" applyFill="1" applyBorder="1" applyAlignment="1" applyProtection="1">
      <alignment horizontal="center" vertical="center" wrapText="1"/>
      <protection locked="0"/>
    </xf>
    <xf numFmtId="0" fontId="7" fillId="7" borderId="1" xfId="0" applyFont="1" applyFill="1" applyBorder="1" applyAlignment="1">
      <alignment horizontal="center" vertical="center" wrapText="1"/>
    </xf>
    <xf numFmtId="3" fontId="7" fillId="7" borderId="1" xfId="0" applyNumberFormat="1" applyFont="1" applyFill="1" applyBorder="1" applyAlignment="1">
      <alignment horizontal="center" vertical="center" wrapText="1"/>
    </xf>
    <xf numFmtId="0" fontId="8" fillId="8" borderId="1" xfId="0" applyFont="1" applyFill="1" applyBorder="1" applyAlignment="1">
      <alignment horizontal="center" vertical="center" wrapText="1"/>
    </xf>
    <xf numFmtId="3" fontId="8" fillId="8" borderId="13" xfId="0" applyNumberFormat="1" applyFont="1" applyFill="1" applyBorder="1" applyAlignment="1">
      <alignment horizontal="center" vertical="center" wrapText="1"/>
    </xf>
    <xf numFmtId="0" fontId="6" fillId="3" borderId="11" xfId="0" applyFont="1" applyFill="1" applyBorder="1" applyAlignment="1" applyProtection="1">
      <alignment horizontal="center" vertical="center" wrapText="1"/>
      <protection locked="0"/>
    </xf>
    <xf numFmtId="1" fontId="6" fillId="3" borderId="7" xfId="0" applyNumberFormat="1" applyFont="1" applyFill="1" applyBorder="1" applyAlignment="1" applyProtection="1">
      <alignment horizontal="center" vertical="center" wrapText="1"/>
      <protection locked="0"/>
    </xf>
    <xf numFmtId="3" fontId="6" fillId="3" borderId="7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8" xfId="0" applyNumberFormat="1" applyFont="1" applyFill="1" applyBorder="1" applyAlignment="1" applyProtection="1">
      <alignment horizontal="center" vertical="center" wrapText="1"/>
      <protection locked="0"/>
    </xf>
    <xf numFmtId="0" fontId="7" fillId="7" borderId="7" xfId="0" applyFont="1" applyFill="1" applyBorder="1" applyAlignment="1">
      <alignment horizontal="center" vertical="center" wrapText="1"/>
    </xf>
    <xf numFmtId="3" fontId="7" fillId="7" borderId="7" xfId="0" applyNumberFormat="1" applyFont="1" applyFill="1" applyBorder="1" applyAlignment="1">
      <alignment horizontal="center" vertical="center" wrapText="1"/>
    </xf>
    <xf numFmtId="0" fontId="8" fillId="8" borderId="7" xfId="0" applyFont="1" applyFill="1" applyBorder="1" applyAlignment="1">
      <alignment horizontal="center" vertical="center" wrapText="1"/>
    </xf>
    <xf numFmtId="3" fontId="8" fillId="8" borderId="14" xfId="0" applyNumberFormat="1" applyFont="1" applyFill="1" applyBorder="1" applyAlignment="1">
      <alignment horizontal="center" vertical="center" wrapText="1"/>
    </xf>
    <xf numFmtId="0" fontId="0" fillId="0" borderId="0" xfId="0"/>
    <xf numFmtId="0" fontId="4" fillId="0" borderId="0" xfId="0" applyFont="1" applyAlignment="1">
      <alignment horizontal="left" vertical="center" wrapText="1"/>
    </xf>
    <xf numFmtId="0" fontId="9" fillId="11" borderId="17" xfId="0" applyFont="1" applyFill="1" applyBorder="1" applyAlignment="1">
      <alignment horizontal="left" vertical="center" wrapText="1"/>
    </xf>
    <xf numFmtId="0" fontId="0" fillId="0" borderId="16" xfId="0" applyBorder="1"/>
    <xf numFmtId="0" fontId="0" fillId="0" borderId="18" xfId="0" applyBorder="1"/>
    <xf numFmtId="0" fontId="6" fillId="0" borderId="9" xfId="0" applyFont="1" applyBorder="1" applyAlignment="1" applyProtection="1">
      <alignment horizontal="left" vertical="top" wrapText="1"/>
      <protection locked="0"/>
    </xf>
    <xf numFmtId="0" fontId="5" fillId="0" borderId="0" xfId="0" applyFont="1" applyAlignment="1">
      <alignment horizontal="left" vertical="center" wrapText="1"/>
    </xf>
    <xf numFmtId="0" fontId="3" fillId="3" borderId="1" xfId="0" applyFont="1" applyFill="1" applyBorder="1" applyAlignment="1" applyProtection="1">
      <alignment horizontal="left" vertical="center" wrapText="1"/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15" xfId="0" applyBorder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" xfId="0" applyBorder="1" applyAlignment="1" applyProtection="1">
      <alignment wrapText="1"/>
      <protection locked="0"/>
    </xf>
    <xf numFmtId="0" fontId="0" fillId="0" borderId="12" xfId="0" applyBorder="1" applyAlignment="1" applyProtection="1">
      <alignment wrapText="1"/>
      <protection locked="0"/>
    </xf>
    <xf numFmtId="0" fontId="0" fillId="0" borderId="10" xfId="0" applyBorder="1" applyAlignment="1" applyProtection="1">
      <alignment wrapText="1"/>
      <protection locked="0"/>
    </xf>
    <xf numFmtId="0" fontId="0" fillId="0" borderId="1" xfId="0" applyBorder="1" applyAlignment="1" applyProtection="1">
      <alignment wrapText="1"/>
      <protection locked="0"/>
    </xf>
    <xf numFmtId="0" fontId="0" fillId="0" borderId="13" xfId="0" applyBorder="1" applyAlignment="1" applyProtection="1">
      <alignment wrapText="1"/>
      <protection locked="0"/>
    </xf>
    <xf numFmtId="0" fontId="0" fillId="0" borderId="11" xfId="0" applyBorder="1" applyAlignment="1" applyProtection="1">
      <alignment wrapText="1"/>
      <protection locked="0"/>
    </xf>
    <xf numFmtId="0" fontId="0" fillId="0" borderId="7" xfId="0" applyBorder="1" applyAlignment="1" applyProtection="1">
      <alignment wrapText="1"/>
      <protection locked="0"/>
    </xf>
    <xf numFmtId="0" fontId="0" fillId="0" borderId="14" xfId="0" applyBorder="1" applyAlignment="1" applyProtection="1">
      <alignment wrapText="1"/>
      <protection locked="0"/>
    </xf>
    <xf numFmtId="0" fontId="5" fillId="0" borderId="19" xfId="0" applyFont="1" applyBorder="1" applyAlignment="1" applyProtection="1">
      <alignment horizontal="left" vertical="center" wrapText="1"/>
      <protection locked="0"/>
    </xf>
    <xf numFmtId="0" fontId="5" fillId="0" borderId="15" xfId="0" applyFont="1" applyBorder="1" applyAlignment="1" applyProtection="1">
      <alignment horizontal="left" vertical="center" wrapText="1"/>
      <protection locked="0"/>
    </xf>
    <xf numFmtId="0" fontId="0" fillId="0" borderId="0" xfId="0" applyProtection="1">
      <protection locked="0"/>
    </xf>
    <xf numFmtId="0" fontId="0" fillId="0" borderId="20" xfId="0" applyBorder="1"/>
    <xf numFmtId="0" fontId="0" fillId="0" borderId="20" xfId="0" applyBorder="1" applyProtection="1">
      <protection locked="0"/>
    </xf>
    <xf numFmtId="0" fontId="0" fillId="0" borderId="22" xfId="0" applyBorder="1" applyAlignment="1" applyProtection="1">
      <alignment horizont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10" fillId="10" borderId="21" xfId="0" applyFont="1" applyFill="1" applyBorder="1" applyAlignment="1">
      <alignment horizontal="center" vertical="center" wrapText="1"/>
    </xf>
    <xf numFmtId="0" fontId="2" fillId="9" borderId="24" xfId="0" applyFont="1" applyFill="1" applyBorder="1" applyAlignment="1">
      <alignment horizontal="left" vertical="center" wrapText="1"/>
    </xf>
    <xf numFmtId="0" fontId="0" fillId="0" borderId="25" xfId="0" applyBorder="1"/>
    <xf numFmtId="0" fontId="0" fillId="0" borderId="26" xfId="0" applyBorder="1"/>
    <xf numFmtId="0" fontId="6" fillId="0" borderId="27" xfId="0" applyFont="1" applyBorder="1" applyAlignment="1">
      <alignment horizontal="left" vertical="center" wrapText="1"/>
    </xf>
    <xf numFmtId="3" fontId="7" fillId="0" borderId="28" xfId="0" applyNumberFormat="1" applyFont="1" applyBorder="1" applyAlignment="1">
      <alignment horizontal="right" vertical="center" wrapText="1"/>
    </xf>
    <xf numFmtId="0" fontId="6" fillId="3" borderId="27" xfId="0" applyFont="1" applyFill="1" applyBorder="1" applyAlignment="1" applyProtection="1">
      <alignment horizontal="left" vertical="center" wrapText="1"/>
      <protection locked="0"/>
    </xf>
    <xf numFmtId="3" fontId="7" fillId="3" borderId="28" xfId="0" applyNumberFormat="1" applyFont="1" applyFill="1" applyBorder="1" applyAlignment="1" applyProtection="1">
      <alignment horizontal="right" vertical="center" wrapText="1"/>
      <protection locked="0"/>
    </xf>
    <xf numFmtId="0" fontId="0" fillId="0" borderId="29" xfId="0" applyBorder="1" applyAlignment="1" applyProtection="1">
      <alignment horizontal="center"/>
      <protection locked="0"/>
    </xf>
    <xf numFmtId="0" fontId="9" fillId="4" borderId="30" xfId="0" applyFont="1" applyFill="1" applyBorder="1" applyAlignment="1">
      <alignment horizontal="right" vertical="center" wrapText="1"/>
    </xf>
    <xf numFmtId="0" fontId="0" fillId="0" borderId="31" xfId="0" applyBorder="1"/>
    <xf numFmtId="3" fontId="9" fillId="4" borderId="32" xfId="0" applyNumberFormat="1" applyFont="1" applyFill="1" applyBorder="1" applyAlignment="1">
      <alignment horizontal="right" vertical="center" wrapText="1"/>
    </xf>
    <xf numFmtId="0" fontId="0" fillId="0" borderId="33" xfId="0" applyBorder="1"/>
    <xf numFmtId="0" fontId="2" fillId="6" borderId="24" xfId="0" applyFont="1" applyFill="1" applyBorder="1" applyAlignment="1">
      <alignment horizontal="left" vertical="center" wrapText="1"/>
    </xf>
    <xf numFmtId="3" fontId="8" fillId="0" borderId="28" xfId="0" applyNumberFormat="1" applyFont="1" applyBorder="1" applyAlignment="1">
      <alignment horizontal="right" vertical="center" wrapText="1"/>
    </xf>
    <xf numFmtId="0" fontId="6" fillId="0" borderId="27" xfId="0" applyFont="1" applyBorder="1" applyAlignment="1" applyProtection="1">
      <alignment horizontal="left" vertical="center" wrapText="1"/>
      <protection locked="0"/>
    </xf>
    <xf numFmtId="3" fontId="8" fillId="3" borderId="28" xfId="0" applyNumberFormat="1" applyFont="1" applyFill="1" applyBorder="1" applyAlignment="1" applyProtection="1">
      <alignment horizontal="right" vertical="center" wrapText="1"/>
      <protection locked="0"/>
    </xf>
    <xf numFmtId="0" fontId="12" fillId="0" borderId="0" xfId="0" applyFont="1" applyAlignment="1">
      <alignment horizontal="right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295162</xdr:colOff>
      <xdr:row>6</xdr:row>
      <xdr:rowOff>3897</xdr:rowOff>
    </xdr:from>
    <xdr:to>
      <xdr:col>18</xdr:col>
      <xdr:colOff>472835</xdr:colOff>
      <xdr:row>14</xdr:row>
      <xdr:rowOff>60399</xdr:rowOff>
    </xdr:to>
    <xdr:pic macro="[0]!清除輸入資料">
      <xdr:nvPicPr>
        <xdr:cNvPr id="3" name="圖片 2">
          <a:extLst>
            <a:ext uri="{FF2B5EF4-FFF2-40B4-BE49-F238E27FC236}">
              <a16:creationId xmlns:a16="http://schemas.microsoft.com/office/drawing/2014/main" id="{D120314B-0EE3-E6F8-216F-2533A5DE9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41368" y="2009750"/>
          <a:ext cx="3464582" cy="4729579"/>
        </a:xfrm>
        <a:prstGeom prst="rect">
          <a:avLst/>
        </a:prstGeom>
      </xdr:spPr>
    </xdr:pic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pageSetUpPr fitToPage="1"/>
  </sheetPr>
  <dimension ref="A1:M41"/>
  <sheetViews>
    <sheetView showGridLines="0" tabSelected="1" zoomScale="85" zoomScaleNormal="85" workbookViewId="0">
      <selection activeCell="F9" sqref="F9"/>
    </sheetView>
  </sheetViews>
  <sheetFormatPr defaultRowHeight="15" x14ac:dyDescent="0.3"/>
  <cols>
    <col min="1" max="1" width="16" customWidth="1"/>
    <col min="2" max="2" width="21.25" customWidth="1"/>
    <col min="3" max="3" width="17" customWidth="1"/>
    <col min="4" max="5" width="13" customWidth="1"/>
    <col min="6" max="6" width="12" customWidth="1"/>
    <col min="7" max="7" width="43.25" customWidth="1"/>
    <col min="8" max="8" width="13" customWidth="1"/>
    <col min="9" max="9" width="39.25" customWidth="1"/>
    <col min="10" max="10" width="13" customWidth="1"/>
  </cols>
  <sheetData>
    <row r="1" spans="1:13" ht="34.950000000000003" customHeight="1" x14ac:dyDescent="0.3">
      <c r="A1" s="39" t="s">
        <v>0</v>
      </c>
      <c r="B1" s="40"/>
      <c r="C1" s="40"/>
      <c r="D1" s="40"/>
      <c r="E1" s="40"/>
      <c r="F1" s="40"/>
      <c r="G1" s="40"/>
      <c r="H1" s="40"/>
      <c r="I1" s="40"/>
      <c r="J1" s="40"/>
    </row>
    <row r="2" spans="1:13" ht="25.05" customHeight="1" x14ac:dyDescent="0.3">
      <c r="A2" s="1" t="s">
        <v>1</v>
      </c>
      <c r="B2" s="35"/>
      <c r="C2" s="36"/>
      <c r="D2" s="36"/>
      <c r="E2" s="37"/>
      <c r="F2" s="1" t="s">
        <v>2</v>
      </c>
      <c r="G2" s="35"/>
      <c r="H2" s="36"/>
      <c r="I2" s="36"/>
      <c r="J2" s="37"/>
    </row>
    <row r="3" spans="1:13" ht="25.05" customHeight="1" x14ac:dyDescent="0.3">
      <c r="A3" s="1" t="s">
        <v>3</v>
      </c>
      <c r="B3" s="35"/>
      <c r="C3" s="36"/>
      <c r="D3" s="36"/>
      <c r="E3" s="36"/>
      <c r="F3" s="36"/>
      <c r="G3" s="36"/>
      <c r="H3" s="36"/>
      <c r="I3" s="36"/>
      <c r="J3" s="37"/>
    </row>
    <row r="4" spans="1:13" ht="25.05" customHeight="1" x14ac:dyDescent="0.3">
      <c r="A4" s="2" t="s">
        <v>25</v>
      </c>
      <c r="B4" s="3"/>
      <c r="C4" s="4" t="str">
        <f>IF(B4="","", TEXT(DATE(1911+LEFT(B4,3),MID(B4,4,2),RIGHT(B4,2)),"yyyy/mm/dd"))</f>
        <v/>
      </c>
      <c r="D4" s="29" t="s">
        <v>4</v>
      </c>
      <c r="E4" s="28"/>
      <c r="F4" s="28"/>
      <c r="G4" s="28"/>
      <c r="H4" s="28"/>
      <c r="I4" s="28"/>
      <c r="J4" s="28"/>
      <c r="M4" s="51"/>
    </row>
    <row r="5" spans="1:13" ht="25.05" customHeight="1" x14ac:dyDescent="0.3">
      <c r="A5" s="2" t="s">
        <v>5</v>
      </c>
      <c r="B5" s="5" t="s">
        <v>27</v>
      </c>
      <c r="C5" s="34" t="str">
        <f>"⚖️ 權益切割：交屋日當天歸 " &amp; RIGHT(B5,2)</f>
        <v>⚖️ 權益切割：交屋日當天歸 賣方</v>
      </c>
      <c r="D5" s="28"/>
      <c r="E5" s="28"/>
    </row>
    <row r="6" spans="1:13" ht="25.05" customHeight="1" thickBot="1" x14ac:dyDescent="0.35">
      <c r="A6" s="2" t="s">
        <v>6</v>
      </c>
      <c r="B6" s="6" t="s">
        <v>7</v>
      </c>
      <c r="C6" s="49" t="str">
        <f>"📊 規則：若跨月，將依該月天數分拆計算 (例：$租金×/30 + $租金×/31)"</f>
        <v>📊 規則：若跨月，將依該月天數分拆計算 (例：$租金×/30 + $租金×/31)</v>
      </c>
      <c r="D6" s="50"/>
      <c r="E6" s="50"/>
      <c r="F6" s="50"/>
      <c r="G6" s="50"/>
    </row>
    <row r="7" spans="1:13" ht="40.049999999999997" customHeight="1" thickTop="1" x14ac:dyDescent="0.3">
      <c r="A7" s="7" t="s">
        <v>8</v>
      </c>
      <c r="B7" s="8" t="s">
        <v>9</v>
      </c>
      <c r="C7" s="8" t="s">
        <v>10</v>
      </c>
      <c r="D7" s="8" t="s">
        <v>11</v>
      </c>
      <c r="E7" s="8" t="s">
        <v>12</v>
      </c>
      <c r="F7" s="9" t="s">
        <v>13</v>
      </c>
      <c r="G7" s="10" t="s">
        <v>14</v>
      </c>
      <c r="H7" s="8" t="s">
        <v>15</v>
      </c>
      <c r="I7" s="10" t="s">
        <v>16</v>
      </c>
      <c r="J7" s="11" t="s">
        <v>15</v>
      </c>
    </row>
    <row r="8" spans="1:13" ht="46.2" customHeight="1" x14ac:dyDescent="0.3">
      <c r="A8" s="12"/>
      <c r="B8" s="13"/>
      <c r="C8" s="13"/>
      <c r="D8" s="14"/>
      <c r="E8" s="14"/>
      <c r="F8" s="15"/>
      <c r="G8" s="16" t="str">
        <f t="shared" ref="G8:G19" si="0">IF(AND(D8&lt;&gt;"", F8&lt;&gt;""), IF((DATE(1911+LEFT(IF(F8="", IF($B$4="", 1140101, $B$4), F8),3),MID(IF(F8="", IF($B$4="", 1140101, $B$4), F8),4,2),RIGHT(IF(F8="", IF($B$4="", 1140101, $B$4), F8),2)) &gt;= IF($B$5="歸買方", DATE(1911+LEFT(IF($B$4="", 1140101, $B$4),3),MID(IF($B$4="", 1140101, $B$4),4,2),RIGHT(IF($B$4="", 1140101, $B$4),2)), DATE(1911+LEFT(IF($B$4="", 1140101, $B$4),3),MID(IF($B$4="", 1140101, $B$4),4,2),RIGHT(IF($B$4="", 1140101, $B$4),2))+1)), IF((EOMONTH(IF($B$5="歸買方", DATE(1911+LEFT(IF($B$4="", 1140101, $B$4),3),MID(IF($B$4="", 1140101, $B$4),4,2),RIGHT(IF($B$4="", 1140101, $B$4),2)), DATE(1911+LEFT(IF($B$4="", 1140101, $B$4),3),MID(IF($B$4="", 1140101, $B$4),4,2),RIGHT(IF($B$4="", 1140101, $B$4),2))+1),0)=EOMONTH(DATE(1911+LEFT(IF(F8="", IF($B$4="", 1140101, $B$4), F8),3),MID(IF(F8="", IF($B$4="", 1140101, $B$4), F8),4,2),RIGHT(IF(F8="", IF($B$4="", 1140101, $B$4), F8),2)),0)),  TEXT(IF($B$5="歸買方", DATE(1911+LEFT(IF($B$4="", 1140101, $B$4),3),MID(IF($B$4="", 1140101, $B$4),4,2),RIGHT(IF($B$4="", 1140101, $B$4),2)), DATE(1911+LEFT(IF($B$4="", 1140101, $B$4),3),MID(IF($B$4="", 1140101, $B$4),4,2),RIGHT(IF($B$4="", 1140101, $B$4),2))+1), "mm/dd") &amp; "~" &amp; TEXT(DATE(1911+LEFT(IF(F8="", IF($B$4="", 1140101, $B$4), F8),3),MID(IF(F8="", IF($B$4="", 1140101, $B$4), F8),4,2),RIGHT(IF(F8="", IF($B$4="", 1140101, $B$4), F8),2)), "mm/dd") &amp; " (" &amp; (DATE(1911+LEFT(IF(F8="", IF($B$4="", 1140101, $B$4), F8),3),MID(IF(F8="", IF($B$4="", 1140101, $B$4), F8),4,2),RIGHT(IF(F8="", IF($B$4="", 1140101, $B$4), F8),2))-IF($B$5="歸買方", DATE(1911+LEFT(IF($B$4="", 1140101, $B$4),3),MID(IF($B$4="", 1140101, $B$4),4,2),RIGHT(IF($B$4="", 1140101, $B$4),2)), DATE(1911+LEFT(IF($B$4="", 1140101, $B$4),3),MID(IF($B$4="", 1140101, $B$4),4,2),RIGHT(IF($B$4="", 1140101, $B$4),2))+1)+1) &amp; "天)" &amp; CHAR(10) &amp;  "$" &amp; D8 &amp; "×(" &amp; (DATE(1911+LEFT(IF(F8="", IF($B$4="", 1140101, $B$4), F8),3),MID(IF(F8="", IF($B$4="", 1140101, $B$4), F8),4,2),RIGHT(IF(F8="", IF($B$4="", 1140101, $B$4), F8),2))-IF($B$5="歸買方", DATE(1911+LEFT(IF($B$4="", 1140101, $B$4),3),MID(IF($B$4="", 1140101, $B$4),4,2),RIGHT(IF($B$4="", 1140101, $B$4),2)), DATE(1911+LEFT(IF($B$4="", 1140101, $B$4),3),MID(IF($B$4="", 1140101, $B$4),4,2),RIGHT(IF($B$4="", 1140101, $B$4),2))+1)+1) &amp; "/" &amp; DAY(EOMONTH(IF($B$5="歸買方", DATE(1911+LEFT(IF($B$4="", 1140101, $B$4),3),MID(IF($B$4="", 1140101, $B$4),4,2),RIGHT(IF($B$4="", 1140101, $B$4),2)), DATE(1911+LEFT(IF($B$4="", 1140101, $B$4),3),MID(IF($B$4="", 1140101, $B$4),4,2),RIGHT(IF($B$4="", 1140101, $B$4),2))+1),0)) &amp; ")",  TEXT(IF($B$5="歸買方", DATE(1911+LEFT(IF($B$4="", 1140101, $B$4),3),MID(IF($B$4="", 1140101, $B$4),4,2),RIGHT(IF($B$4="", 1140101, $B$4),2)), DATE(1911+LEFT(IF($B$4="", 1140101, $B$4),3),MID(IF($B$4="", 1140101, $B$4),4,2),RIGHT(IF($B$4="", 1140101, $B$4),2))+1), "mm/dd") &amp; "~" &amp; TEXT(DATE(1911+LEFT(IF(F8="", IF($B$4="", 1140101, $B$4), F8),3),MID(IF(F8="", IF($B$4="", 1140101, $B$4), F8),4,2),RIGHT(IF(F8="", IF($B$4="", 1140101, $B$4), F8),2)), "mm/dd") &amp; " (" &amp; (DATE(1911+LEFT(IF(F8="", IF($B$4="", 1140101, $B$4), F8),3),MID(IF(F8="", IF($B$4="", 1140101, $B$4), F8),4,2),RIGHT(IF(F8="", IF($B$4="", 1140101, $B$4), F8),2))-IF($B$5="歸買方", DATE(1911+LEFT(IF($B$4="", 1140101, $B$4),3),MID(IF($B$4="", 1140101, $B$4),4,2),RIGHT(IF($B$4="", 1140101, $B$4),2)), DATE(1911+LEFT(IF($B$4="", 1140101, $B$4),3),MID(IF($B$4="", 1140101, $B$4),4,2),RIGHT(IF($B$4="", 1140101, $B$4),2))+1)+1) &amp; "天)" &amp; CHAR(10) &amp;  IF(((YEAR(DATE(1911+LEFT(IF(F8="", IF($B$4="", 1140101, $B$4), F8),3),MID(IF(F8="", IF($B$4="", 1140101, $B$4), F8),4,2),RIGHT(IF(F8="", IF($B$4="", 1140101, $B$4), F8),2)))-YEAR(IF($B$5="歸買方", DATE(1911+LEFT(IF($B$4="", 1140101, $B$4),3),MID(IF($B$4="", 1140101, $B$4),4,2),RIGHT(IF($B$4="", 1140101, $B$4),2)), DATE(1911+LEFT(IF($B$4="", 1140101, $B$4),3),MID(IF($B$4="", 1140101, $B$4),4,2),RIGHT(IF($B$4="", 1140101, $B$4),2))+1)))*12 + MONTH(DATE(1911+LEFT(IF(F8="", IF($B$4="", 1140101, $B$4), F8),3),MID(IF(F8="", IF($B$4="", 1140101, $B$4), F8),4,2),RIGHT(IF(F8="", IF($B$4="", 1140101, $B$4), F8),2)))-MONTH(IF($B$5="歸買方", DATE(1911+LEFT(IF($B$4="", 1140101, $B$4),3),MID(IF($B$4="", 1140101, $B$4),4,2),RIGHT(IF($B$4="", 1140101, $B$4),2)), DATE(1911+LEFT(IF($B$4="", 1140101, $B$4),3),MID(IF($B$4="", 1140101, $B$4),4,2),RIGHT(IF($B$4="", 1140101, $B$4),2))+1)) &gt; 1),  "$" &amp; D8 &amp; "×(" &amp; (EOMONTH(IF($B$5="歸買方", DATE(1911+LEFT(IF($B$4="", 1140101, $B$4),3),MID(IF($B$4="", 1140101, $B$4),4,2),RIGHT(IF($B$4="", 1140101, $B$4),2)), DATE(1911+LEFT(IF($B$4="", 1140101, $B$4),3),MID(IF($B$4="", 1140101, $B$4),4,2),RIGHT(IF($B$4="", 1140101, $B$4),2))+1),0)-IF($B$5="歸買方", DATE(1911+LEFT(IF($B$4="", 1140101, $B$4),3),MID(IF($B$4="", 1140101, $B$4),4,2),RIGHT(IF($B$4="", 1140101, $B$4),2)), DATE(1911+LEFT(IF($B$4="", 1140101, $B$4),3),MID(IF($B$4="", 1140101, $B$4),4,2),RIGHT(IF($B$4="", 1140101, $B$4),2))+1)+1) &amp; "/" &amp; DAY(EOMONTH(IF($B$5="歸買方", DATE(1911+LEFT(IF($B$4="", 1140101, $B$4),3),MID(IF($B$4="", 1140101, $B$4),4,2),RIGHT(IF($B$4="", 1140101, $B$4),2)), DATE(1911+LEFT(IF($B$4="", 1140101, $B$4),3),MID(IF($B$4="", 1140101, $B$4),4,2),RIGHT(IF($B$4="", 1140101, $B$4),2))+1),0)) &amp; ") + $" &amp; D8 &amp; "×(" &amp; DAY(DATE(1911+LEFT(IF(F8="", IF($B$4="", 1140101, $B$4), F8),3),MID(IF(F8="", IF($B$4="", 1140101, $B$4), F8),4,2),RIGHT(IF(F8="", IF($B$4="", 1140101, $B$4), F8),2))) &amp; "/" &amp; DAY(EOMONTH(DATE(1911+LEFT(IF(F8="", IF($B$4="", 1140101, $B$4), F8),3),MID(IF(F8="", IF($B$4="", 1140101, $B$4), F8),4,2),RIGHT(IF(F8="", IF($B$4="", 1140101, $B$4), F8),2)),0)) &amp; ")"  &amp; " +...",  "$" &amp; D8 &amp; "×(" &amp; (EOMONTH(IF($B$5="歸買方", DATE(1911+LEFT(IF($B$4="", 1140101, $B$4),3),MID(IF($B$4="", 1140101, $B$4),4,2),RIGHT(IF($B$4="", 1140101, $B$4),2)), DATE(1911+LEFT(IF($B$4="", 1140101, $B$4),3),MID(IF($B$4="", 1140101, $B$4),4,2),RIGHT(IF($B$4="", 1140101, $B$4),2))+1),0)-IF($B$5="歸買方", DATE(1911+LEFT(IF($B$4="", 1140101, $B$4),3),MID(IF($B$4="", 1140101, $B$4),4,2),RIGHT(IF($B$4="", 1140101, $B$4),2)), DATE(1911+LEFT(IF($B$4="", 1140101, $B$4),3),MID(IF($B$4="", 1140101, $B$4),4,2),RIGHT(IF($B$4="", 1140101, $B$4),2))+1)+1) &amp; "/" &amp; DAY(EOMONTH(IF($B$5="歸買方", DATE(1911+LEFT(IF($B$4="", 1140101, $B$4),3),MID(IF($B$4="", 1140101, $B$4),4,2),RIGHT(IF($B$4="", 1140101, $B$4),2)), DATE(1911+LEFT(IF($B$4="", 1140101, $B$4),3),MID(IF($B$4="", 1140101, $B$4),4,2),RIGHT(IF($B$4="", 1140101, $B$4),2))+1),0)) &amp; ") + $" &amp; D8 &amp; "×(" &amp; DAY(DATE(1911+LEFT(IF(F8="", IF($B$4="", 1140101, $B$4), F8),3),MID(IF(F8="", IF($B$4="", 1140101, $B$4), F8),4,2),RIGHT(IF(F8="", IF($B$4="", 1140101, $B$4), F8),2))) &amp; "/" &amp; DAY(EOMONTH(DATE(1911+LEFT(IF(F8="", IF($B$4="", 1140101, $B$4), F8),3),MID(IF(F8="", IF($B$4="", 1140101, $B$4), F8),4,2),RIGHT(IF(F8="", IF($B$4="", 1140101, $B$4), F8),2)),0)) &amp; ")" )  ), ""), "")</f>
        <v/>
      </c>
      <c r="H8" s="17" t="str">
        <f t="shared" ref="H8:H19" si="1">IF(AND(D8&lt;&gt;"", F8&lt;&gt;""), IF((DATE(1911+LEFT(IF(F8="", IF($B$4="", 1140101, $B$4), F8),3),MID(IF(F8="", IF($B$4="", 1140101, $B$4), F8),4,2),RIGHT(IF(F8="", IF($B$4="", 1140101, $B$4), F8),2)) &gt;= IF($B$5="歸買方", DATE(1911+LEFT(IF($B$4="", 1140101, $B$4),3),MID(IF($B$4="", 1140101, $B$4),4,2),RIGHT(IF($B$4="", 1140101, $B$4),2)), DATE(1911+LEFT(IF($B$4="", 1140101, $B$4),3),MID(IF($B$4="", 1140101, $B$4),4,2),RIGHT(IF($B$4="", 1140101, $B$4),2))+1)), ROUND(D8 * IF((EOMONTH(IF($B$5="歸買方", DATE(1911+LEFT(IF($B$4="", 1140101, $B$4),3),MID(IF($B$4="", 1140101, $B$4),4,2),RIGHT(IF($B$4="", 1140101, $B$4),2)), DATE(1911+LEFT(IF($B$4="", 1140101, $B$4),3),MID(IF($B$4="", 1140101, $B$4),4,2),RIGHT(IF($B$4="", 1140101, $B$4),2))+1),0)=EOMONTH(DATE(1911+LEFT(IF(F8="", IF($B$4="", 1140101, $B$4), F8),3),MID(IF(F8="", IF($B$4="", 1140101, $B$4), F8),4,2),RIGHT(IF(F8="", IF($B$4="", 1140101, $B$4), F8),2)),0)), ((DATE(1911+LEFT(IF(F8="", IF($B$4="", 1140101, $B$4), F8),3),MID(IF(F8="", IF($B$4="", 1140101, $B$4), F8),4,2),RIGHT(IF(F8="", IF($B$4="", 1140101, $B$4), F8),2))-IF($B$5="歸買方", DATE(1911+LEFT(IF($B$4="", 1140101, $B$4),3),MID(IF($B$4="", 1140101, $B$4),4,2),RIGHT(IF($B$4="", 1140101, $B$4),2)), DATE(1911+LEFT(IF($B$4="", 1140101, $B$4),3),MID(IF($B$4="", 1140101, $B$4),4,2),RIGHT(IF($B$4="", 1140101, $B$4),2))+1)+1)/DAY(EOMONTH(IF($B$5="歸買方", DATE(1911+LEFT(IF($B$4="", 1140101, $B$4),3),MID(IF($B$4="", 1140101, $B$4),4,2),RIGHT(IF($B$4="", 1140101, $B$4),2)), DATE(1911+LEFT(IF($B$4="", 1140101, $B$4),3),MID(IF($B$4="", 1140101, $B$4),4,2),RIGHT(IF($B$4="", 1140101, $B$4),2))+1),0))), (((EOMONTH(IF($B$5="歸買方", DATE(1911+LEFT(IF($B$4="", 1140101, $B$4),3),MID(IF($B$4="", 1140101, $B$4),4,2),RIGHT(IF($B$4="", 1140101, $B$4),2)), DATE(1911+LEFT(IF($B$4="", 1140101, $B$4),3),MID(IF($B$4="", 1140101, $B$4),4,2),RIGHT(IF($B$4="", 1140101, $B$4),2))+1),0)-IF($B$5="歸買方", DATE(1911+LEFT(IF($B$4="", 1140101, $B$4),3),MID(IF($B$4="", 1140101, $B$4),4,2),RIGHT(IF($B$4="", 1140101, $B$4),2)), DATE(1911+LEFT(IF($B$4="", 1140101, $B$4),3),MID(IF($B$4="", 1140101, $B$4),4,2),RIGHT(IF($B$4="", 1140101, $B$4),2))+1)+1)/DAY(EOMONTH(IF($B$5="歸買方", DATE(1911+LEFT(IF($B$4="", 1140101, $B$4),3),MID(IF($B$4="", 1140101, $B$4),4,2),RIGHT(IF($B$4="", 1140101, $B$4),2)), DATE(1911+LEFT(IF($B$4="", 1140101, $B$4),3),MID(IF($B$4="", 1140101, $B$4),4,2),RIGHT(IF($B$4="", 1140101, $B$4),2))+1),0))) + (DAY(DATE(1911+LEFT(IF(F8="", IF($B$4="", 1140101, $B$4), F8),3),MID(IF(F8="", IF($B$4="", 1140101, $B$4), F8),4,2),RIGHT(IF(F8="", IF($B$4="", 1140101, $B$4), F8),2)))/DAY(EOMONTH(DATE(1911+LEFT(IF(F8="", IF($B$4="", 1140101, $B$4), F8),3),MID(IF(F8="", IF($B$4="", 1140101, $B$4), F8),4,2),RIGHT(IF(F8="", IF($B$4="", 1140101, $B$4), F8),2)),0))) + MAX(0, (YEAR(DATE(1911+LEFT(IF(F8="", IF($B$4="", 1140101, $B$4), F8),3),MID(IF(F8="", IF($B$4="", 1140101, $B$4), F8),4,2),RIGHT(IF(F8="", IF($B$4="", 1140101, $B$4), F8),2)))-YEAR(IF($B$5="歸買方", DATE(1911+LEFT(IF($B$4="", 1140101, $B$4),3),MID(IF($B$4="", 1140101, $B$4),4,2),RIGHT(IF($B$4="", 1140101, $B$4),2)), DATE(1911+LEFT(IF($B$4="", 1140101, $B$4),3),MID(IF($B$4="", 1140101, $B$4),4,2),RIGHT(IF($B$4="", 1140101, $B$4),2))+1)))*12 + MONTH(DATE(1911+LEFT(IF(F8="", IF($B$4="", 1140101, $B$4), F8),3),MID(IF(F8="", IF($B$4="", 1140101, $B$4), F8),4,2),RIGHT(IF(F8="", IF($B$4="", 1140101, $B$4), F8),2)))-MONTH(IF($B$5="歸買方", DATE(1911+LEFT(IF($B$4="", 1140101, $B$4),3),MID(IF($B$4="", 1140101, $B$4),4,2),RIGHT(IF($B$4="", 1140101, $B$4),2)), DATE(1911+LEFT(IF($B$4="", 1140101, $B$4),3),MID(IF($B$4="", 1140101, $B$4),4,2),RIGHT(IF($B$4="", 1140101, $B$4),2))+1)) - 1))), 0), 0), "")</f>
        <v/>
      </c>
      <c r="I8" s="18" t="str">
        <f t="shared" ref="I8:I19" si="2">IF(AND(D8&lt;&gt;"", F8&lt;&gt;""), IF((IF($B$5="歸買方", DATE(1911+LEFT(IF($B$4="", 1140101, $B$4),3),MID(IF($B$4="", 1140101, $B$4),4,2),RIGHT(IF($B$4="", 1140101, $B$4),2)), DATE(1911+LEFT(IF($B$4="", 1140101, $B$4),3),MID(IF($B$4="", 1140101, $B$4),4,2),RIGHT(IF($B$4="", 1140101, $B$4),2))+1) &gt; DATE(1911+LEFT(IF(F8="", IF($B$4="", 1140101, $B$4), F8),3),MID(IF(F8="", IF($B$4="", 1140101, $B$4), F8),4,2),RIGHT(IF(F8="", IF($B$4="", 1140101, $B$4), F8),2)) + 1), IF((EOMONTH((DATE(1911+LEFT(IF(F8="", IF($B$4="", 1140101, $B$4), F8),3),MID(IF(F8="", IF($B$4="", 1140101, $B$4), F8),4,2),RIGHT(IF(F8="", IF($B$4="", 1140101, $B$4), F8),2))+1),0)=EOMONTH((IF($B$5="歸買方", DATE(1911+LEFT(IF($B$4="", 1140101, $B$4),3),MID(IF($B$4="", 1140101, $B$4),4,2),RIGHT(IF($B$4="", 1140101, $B$4),2)), DATE(1911+LEFT(IF($B$4="", 1140101, $B$4),3),MID(IF($B$4="", 1140101, $B$4),4,2),RIGHT(IF($B$4="", 1140101, $B$4),2))+1)-1),0)),  TEXT((DATE(1911+LEFT(IF(F8="", IF($B$4="", 1140101, $B$4), F8),3),MID(IF(F8="", IF($B$4="", 1140101, $B$4), F8),4,2),RIGHT(IF(F8="", IF($B$4="", 1140101, $B$4), F8),2))+1), "mm/dd") &amp; "~" &amp; TEXT((IF($B$5="歸買方", DATE(1911+LEFT(IF($B$4="", 1140101, $B$4),3),MID(IF($B$4="", 1140101, $B$4),4,2),RIGHT(IF($B$4="", 1140101, $B$4),2)), DATE(1911+LEFT(IF($B$4="", 1140101, $B$4),3),MID(IF($B$4="", 1140101, $B$4),4,2),RIGHT(IF($B$4="", 1140101, $B$4),2))+1)-1), "mm/dd") &amp; " (" &amp; ((IF($B$5="歸買方", DATE(1911+LEFT(IF($B$4="", 1140101, $B$4),3),MID(IF($B$4="", 1140101, $B$4),4,2),RIGHT(IF($B$4="", 1140101, $B$4),2)), DATE(1911+LEFT(IF($B$4="", 1140101, $B$4),3),MID(IF($B$4="", 1140101, $B$4),4,2),RIGHT(IF($B$4="", 1140101, $B$4),2))+1)-1)-(DATE(1911+LEFT(IF(F8="", IF($B$4="", 1140101, $B$4), F8),3),MID(IF(F8="", IF($B$4="", 1140101, $B$4), F8),4,2),RIGHT(IF(F8="", IF($B$4="", 1140101, $B$4), F8),2))+1)+1) &amp; "天)" &amp; CHAR(10) &amp;  "$" &amp; D8 &amp; "×(" &amp; ((IF($B$5="歸買方", DATE(1911+LEFT(IF($B$4="", 1140101, $B$4),3),MID(IF($B$4="", 1140101, $B$4),4,2),RIGHT(IF($B$4="", 1140101, $B$4),2)), DATE(1911+LEFT(IF($B$4="", 1140101, $B$4),3),MID(IF($B$4="", 1140101, $B$4),4,2),RIGHT(IF($B$4="", 1140101, $B$4),2))+1)-1)-(DATE(1911+LEFT(IF(F8="", IF($B$4="", 1140101, $B$4), F8),3),MID(IF(F8="", IF($B$4="", 1140101, $B$4), F8),4,2),RIGHT(IF(F8="", IF($B$4="", 1140101, $B$4), F8),2))+1)+1) &amp; "/" &amp; DAY(EOMONTH((DATE(1911+LEFT(IF(F8="", IF($B$4="", 1140101, $B$4), F8),3),MID(IF(F8="", IF($B$4="", 1140101, $B$4), F8),4,2),RIGHT(IF(F8="", IF($B$4="", 1140101, $B$4), F8),2))+1),0)) &amp; ")",  TEXT((DATE(1911+LEFT(IF(F8="", IF($B$4="", 1140101, $B$4), F8),3),MID(IF(F8="", IF($B$4="", 1140101, $B$4), F8),4,2),RIGHT(IF(F8="", IF($B$4="", 1140101, $B$4), F8),2))+1), "mm/dd") &amp; "~" &amp; TEXT((IF($B$5="歸買方", DATE(1911+LEFT(IF($B$4="", 1140101, $B$4),3),MID(IF($B$4="", 1140101, $B$4),4,2),RIGHT(IF($B$4="", 1140101, $B$4),2)), DATE(1911+LEFT(IF($B$4="", 1140101, $B$4),3),MID(IF($B$4="", 1140101, $B$4),4,2),RIGHT(IF($B$4="", 1140101, $B$4),2))+1)-1), "mm/dd") &amp; " (" &amp; ((IF($B$5="歸買方", DATE(1911+LEFT(IF($B$4="", 1140101, $B$4),3),MID(IF($B$4="", 1140101, $B$4),4,2),RIGHT(IF($B$4="", 1140101, $B$4),2)), DATE(1911+LEFT(IF($B$4="", 1140101, $B$4),3),MID(IF($B$4="", 1140101, $B$4),4,2),RIGHT(IF($B$4="", 1140101, $B$4),2))+1)-1)-(DATE(1911+LEFT(IF(F8="", IF($B$4="", 1140101, $B$4), F8),3),MID(IF(F8="", IF($B$4="", 1140101, $B$4), F8),4,2),RIGHT(IF(F8="", IF($B$4="", 1140101, $B$4), F8),2))+1)+1) &amp; "天)" &amp; CHAR(10) &amp;  IF(((YEAR((IF($B$5="歸買方", DATE(1911+LEFT(IF($B$4="", 1140101, $B$4),3),MID(IF($B$4="", 1140101, $B$4),4,2),RIGHT(IF($B$4="", 1140101, $B$4),2)), DATE(1911+LEFT(IF($B$4="", 1140101, $B$4),3),MID(IF($B$4="", 1140101, $B$4),4,2),RIGHT(IF($B$4="", 1140101, $B$4),2))+1)-1))-YEAR((DATE(1911+LEFT(IF(F8="", IF($B$4="", 1140101, $B$4), F8),3),MID(IF(F8="", IF($B$4="", 1140101, $B$4), F8),4,2),RIGHT(IF(F8="", IF($B$4="", 1140101, $B$4), F8),2))+1)))*12 + MONTH((IF($B$5="歸買方", DATE(1911+LEFT(IF($B$4="", 1140101, $B$4),3),MID(IF($B$4="", 1140101, $B$4),4,2),RIGHT(IF($B$4="", 1140101, $B$4),2)), DATE(1911+LEFT(IF($B$4="", 1140101, $B$4),3),MID(IF($B$4="", 1140101, $B$4),4,2),RIGHT(IF($B$4="", 1140101, $B$4),2))+1)-1))-MONTH((DATE(1911+LEFT(IF(F8="", IF($B$4="", 1140101, $B$4), F8),3),MID(IF(F8="", IF($B$4="", 1140101, $B$4), F8),4,2),RIGHT(IF(F8="", IF($B$4="", 1140101, $B$4), F8),2))+1)) &gt; 1),  "$" &amp; D8 &amp; "×(" &amp; (EOMONTH((DATE(1911+LEFT(IF(F8="", IF($B$4="", 1140101, $B$4), F8),3),MID(IF(F8="", IF($B$4="", 1140101, $B$4), F8),4,2),RIGHT(IF(F8="", IF($B$4="", 1140101, $B$4), F8),2))+1),0)-(DATE(1911+LEFT(IF(F8="", IF($B$4="", 1140101, $B$4), F8),3),MID(IF(F8="", IF($B$4="", 1140101, $B$4), F8),4,2),RIGHT(IF(F8="", IF($B$4="", 1140101, $B$4), F8),2))+1)+1) &amp; "/" &amp; DAY(EOMONTH((DATE(1911+LEFT(IF(F8="", IF($B$4="", 1140101, $B$4), F8),3),MID(IF(F8="", IF($B$4="", 1140101, $B$4), F8),4,2),RIGHT(IF(F8="", IF($B$4="", 1140101, $B$4), F8),2))+1),0)) &amp; ") + $" &amp; D8 &amp; "×(" &amp; DAY((IF($B$5="歸買方", DATE(1911+LEFT(IF($B$4="", 1140101, $B$4),3),MID(IF($B$4="", 1140101, $B$4),4,2),RIGHT(IF($B$4="", 1140101, $B$4),2)), DATE(1911+LEFT(IF($B$4="", 1140101, $B$4),3),MID(IF($B$4="", 1140101, $B$4),4,2),RIGHT(IF($B$4="", 1140101, $B$4),2))+1)-1)) &amp; "/" &amp; DAY(EOMONTH((IF($B$5="歸買方", DATE(1911+LEFT(IF($B$4="", 1140101, $B$4),3),MID(IF($B$4="", 1140101, $B$4),4,2),RIGHT(IF($B$4="", 1140101, $B$4),2)), DATE(1911+LEFT(IF($B$4="", 1140101, $B$4),3),MID(IF($B$4="", 1140101, $B$4),4,2),RIGHT(IF($B$4="", 1140101, $B$4),2))+1)-1),0)) &amp; ")"  &amp; " +...",  "$" &amp; D8 &amp; "×(" &amp; (EOMONTH((DATE(1911+LEFT(IF(F8="", IF($B$4="", 1140101, $B$4), F8),3),MID(IF(F8="", IF($B$4="", 1140101, $B$4), F8),4,2),RIGHT(IF(F8="", IF($B$4="", 1140101, $B$4), F8),2))+1),0)-(DATE(1911+LEFT(IF(F8="", IF($B$4="", 1140101, $B$4), F8),3),MID(IF(F8="", IF($B$4="", 1140101, $B$4), F8),4,2),RIGHT(IF(F8="", IF($B$4="", 1140101, $B$4), F8),2))+1)+1) &amp; "/" &amp; DAY(EOMONTH((DATE(1911+LEFT(IF(F8="", IF($B$4="", 1140101, $B$4), F8),3),MID(IF(F8="", IF($B$4="", 1140101, $B$4), F8),4,2),RIGHT(IF(F8="", IF($B$4="", 1140101, $B$4), F8),2))+1),0)) &amp; ") + $" &amp; D8 &amp; "×(" &amp; DAY((IF($B$5="歸買方", DATE(1911+LEFT(IF($B$4="", 1140101, $B$4),3),MID(IF($B$4="", 1140101, $B$4),4,2),RIGHT(IF($B$4="", 1140101, $B$4),2)), DATE(1911+LEFT(IF($B$4="", 1140101, $B$4),3),MID(IF($B$4="", 1140101, $B$4),4,2),RIGHT(IF($B$4="", 1140101, $B$4),2))+1)-1)) &amp; "/" &amp; DAY(EOMONTH((IF($B$5="歸買方", DATE(1911+LEFT(IF($B$4="", 1140101, $B$4),3),MID(IF($B$4="", 1140101, $B$4),4,2),RIGHT(IF($B$4="", 1140101, $B$4),2)), DATE(1911+LEFT(IF($B$4="", 1140101, $B$4),3),MID(IF($B$4="", 1140101, $B$4),4,2),RIGHT(IF($B$4="", 1140101, $B$4),2))+1)-1),0)) &amp; ")" )  ), ""), "")</f>
        <v/>
      </c>
      <c r="J8" s="19" t="str">
        <f t="shared" ref="J8:J19" si="3">IF(AND(D8&lt;&gt;"", F8&lt;&gt;""), IF((IF($B$5="歸買方", DATE(1911+LEFT(IF($B$4="", 1140101, $B$4),3),MID(IF($B$4="", 1140101, $B$4),4,2),RIGHT(IF($B$4="", 1140101, $B$4),2)), DATE(1911+LEFT(IF($B$4="", 1140101, $B$4),3),MID(IF($B$4="", 1140101, $B$4),4,2),RIGHT(IF($B$4="", 1140101, $B$4),2))+1) &gt; DATE(1911+LEFT(IF(F8="", IF($B$4="", 1140101, $B$4), F8),3),MID(IF(F8="", IF($B$4="", 1140101, $B$4), F8),4,2),RIGHT(IF(F8="", IF($B$4="", 1140101, $B$4), F8),2)) + 1), ROUND(D8 * IF((EOMONTH((DATE(1911+LEFT(IF(F8="", IF($B$4="", 1140101, $B$4), F8),3),MID(IF(F8="", IF($B$4="", 1140101, $B$4), F8),4,2),RIGHT(IF(F8="", IF($B$4="", 1140101, $B$4), F8),2))+1),0)=EOMONTH((IF($B$5="歸買方", DATE(1911+LEFT(IF($B$4="", 1140101, $B$4),3),MID(IF($B$4="", 1140101, $B$4),4,2),RIGHT(IF($B$4="", 1140101, $B$4),2)), DATE(1911+LEFT(IF($B$4="", 1140101, $B$4),3),MID(IF($B$4="", 1140101, $B$4),4,2),RIGHT(IF($B$4="", 1140101, $B$4),2))+1)-1),0)), (((IF($B$5="歸買方", DATE(1911+LEFT(IF($B$4="", 1140101, $B$4),3),MID(IF($B$4="", 1140101, $B$4),4,2),RIGHT(IF($B$4="", 1140101, $B$4),2)), DATE(1911+LEFT(IF($B$4="", 1140101, $B$4),3),MID(IF($B$4="", 1140101, $B$4),4,2),RIGHT(IF($B$4="", 1140101, $B$4),2))+1)-1)-(DATE(1911+LEFT(IF(F8="", IF($B$4="", 1140101, $B$4), F8),3),MID(IF(F8="", IF($B$4="", 1140101, $B$4), F8),4,2),RIGHT(IF(F8="", IF($B$4="", 1140101, $B$4), F8),2))+1)+1)/DAY(EOMONTH((DATE(1911+LEFT(IF(F8="", IF($B$4="", 1140101, $B$4), F8),3),MID(IF(F8="", IF($B$4="", 1140101, $B$4), F8),4,2),RIGHT(IF(F8="", IF($B$4="", 1140101, $B$4), F8),2))+1),0))), (((EOMONTH((DATE(1911+LEFT(IF(F8="", IF($B$4="", 1140101, $B$4), F8),3),MID(IF(F8="", IF($B$4="", 1140101, $B$4), F8),4,2),RIGHT(IF(F8="", IF($B$4="", 1140101, $B$4), F8),2))+1),0)-(DATE(1911+LEFT(IF(F8="", IF($B$4="", 1140101, $B$4), F8),3),MID(IF(F8="", IF($B$4="", 1140101, $B$4), F8),4,2),RIGHT(IF(F8="", IF($B$4="", 1140101, $B$4), F8),2))+1)+1)/DAY(EOMONTH((DATE(1911+LEFT(IF(F8="", IF($B$4="", 1140101, $B$4), F8),3),MID(IF(F8="", IF($B$4="", 1140101, $B$4), F8),4,2),RIGHT(IF(F8="", IF($B$4="", 1140101, $B$4), F8),2))+1),0))) + (DAY((IF($B$5="歸買方", DATE(1911+LEFT(IF($B$4="", 1140101, $B$4),3),MID(IF($B$4="", 1140101, $B$4),4,2),RIGHT(IF($B$4="", 1140101, $B$4),2)), DATE(1911+LEFT(IF($B$4="", 1140101, $B$4),3),MID(IF($B$4="", 1140101, $B$4),4,2),RIGHT(IF($B$4="", 1140101, $B$4),2))+1)-1))/DAY(EOMONTH((IF($B$5="歸買方", DATE(1911+LEFT(IF($B$4="", 1140101, $B$4),3),MID(IF($B$4="", 1140101, $B$4),4,2),RIGHT(IF($B$4="", 1140101, $B$4),2)), DATE(1911+LEFT(IF($B$4="", 1140101, $B$4),3),MID(IF($B$4="", 1140101, $B$4),4,2),RIGHT(IF($B$4="", 1140101, $B$4),2))+1)-1),0))) + MAX(0, (YEAR((IF($B$5="歸買方", DATE(1911+LEFT(IF($B$4="", 1140101, $B$4),3),MID(IF($B$4="", 1140101, $B$4),4,2),RIGHT(IF($B$4="", 1140101, $B$4),2)), DATE(1911+LEFT(IF($B$4="", 1140101, $B$4),3),MID(IF($B$4="", 1140101, $B$4),4,2),RIGHT(IF($B$4="", 1140101, $B$4),2))+1)-1))-YEAR((DATE(1911+LEFT(IF(F8="", IF($B$4="", 1140101, $B$4), F8),3),MID(IF(F8="", IF($B$4="", 1140101, $B$4), F8),4,2),RIGHT(IF(F8="", IF($B$4="", 1140101, $B$4), F8),2))+1)))*12 + MONTH((IF($B$5="歸買方", DATE(1911+LEFT(IF($B$4="", 1140101, $B$4),3),MID(IF($B$4="", 1140101, $B$4),4,2),RIGHT(IF($B$4="", 1140101, $B$4),2)), DATE(1911+LEFT(IF($B$4="", 1140101, $B$4),3),MID(IF($B$4="", 1140101, $B$4),4,2),RIGHT(IF($B$4="", 1140101, $B$4),2))+1)-1))-MONTH((DATE(1911+LEFT(IF(F8="", IF($B$4="", 1140101, $B$4), F8),3),MID(IF(F8="", IF($B$4="", 1140101, $B$4), F8),4,2),RIGHT(IF(F8="", IF($B$4="", 1140101, $B$4), F8),2))+1)) - 1))), 0), 0), "")</f>
        <v/>
      </c>
    </row>
    <row r="9" spans="1:13" ht="46.2" customHeight="1" x14ac:dyDescent="0.3">
      <c r="A9" s="12"/>
      <c r="B9" s="13"/>
      <c r="C9" s="13"/>
      <c r="D9" s="14"/>
      <c r="E9" s="14"/>
      <c r="F9" s="15"/>
      <c r="G9" s="16" t="str">
        <f t="shared" si="0"/>
        <v/>
      </c>
      <c r="H9" s="17" t="str">
        <f t="shared" si="1"/>
        <v/>
      </c>
      <c r="I9" s="18" t="str">
        <f t="shared" si="2"/>
        <v/>
      </c>
      <c r="J9" s="19" t="str">
        <f t="shared" si="3"/>
        <v/>
      </c>
    </row>
    <row r="10" spans="1:13" ht="46.2" customHeight="1" x14ac:dyDescent="0.3">
      <c r="A10" s="12"/>
      <c r="B10" s="13"/>
      <c r="C10" s="13"/>
      <c r="D10" s="14"/>
      <c r="E10" s="14"/>
      <c r="F10" s="15"/>
      <c r="G10" s="16" t="str">
        <f t="shared" si="0"/>
        <v/>
      </c>
      <c r="H10" s="17" t="str">
        <f t="shared" si="1"/>
        <v/>
      </c>
      <c r="I10" s="18" t="str">
        <f t="shared" si="2"/>
        <v/>
      </c>
      <c r="J10" s="19" t="str">
        <f t="shared" si="3"/>
        <v/>
      </c>
    </row>
    <row r="11" spans="1:13" ht="46.2" customHeight="1" x14ac:dyDescent="0.3">
      <c r="A11" s="12"/>
      <c r="B11" s="13"/>
      <c r="C11" s="13"/>
      <c r="D11" s="14"/>
      <c r="E11" s="14"/>
      <c r="F11" s="15"/>
      <c r="G11" s="16" t="str">
        <f t="shared" si="0"/>
        <v/>
      </c>
      <c r="H11" s="17" t="str">
        <f t="shared" si="1"/>
        <v/>
      </c>
      <c r="I11" s="18" t="str">
        <f t="shared" si="2"/>
        <v/>
      </c>
      <c r="J11" s="19" t="str">
        <f t="shared" si="3"/>
        <v/>
      </c>
    </row>
    <row r="12" spans="1:13" ht="46.2" customHeight="1" x14ac:dyDescent="0.3">
      <c r="A12" s="12"/>
      <c r="B12" s="13"/>
      <c r="C12" s="13"/>
      <c r="D12" s="14"/>
      <c r="E12" s="14"/>
      <c r="F12" s="15"/>
      <c r="G12" s="16" t="str">
        <f t="shared" si="0"/>
        <v/>
      </c>
      <c r="H12" s="17" t="str">
        <f t="shared" si="1"/>
        <v/>
      </c>
      <c r="I12" s="18" t="str">
        <f t="shared" si="2"/>
        <v/>
      </c>
      <c r="J12" s="19" t="str">
        <f t="shared" si="3"/>
        <v/>
      </c>
    </row>
    <row r="13" spans="1:13" ht="46.2" customHeight="1" x14ac:dyDescent="0.3">
      <c r="A13" s="12"/>
      <c r="B13" s="13"/>
      <c r="C13" s="13"/>
      <c r="D13" s="14"/>
      <c r="E13" s="14"/>
      <c r="F13" s="15"/>
      <c r="G13" s="16" t="str">
        <f t="shared" si="0"/>
        <v/>
      </c>
      <c r="H13" s="17" t="str">
        <f t="shared" si="1"/>
        <v/>
      </c>
      <c r="I13" s="18" t="str">
        <f t="shared" si="2"/>
        <v/>
      </c>
      <c r="J13" s="19" t="str">
        <f t="shared" si="3"/>
        <v/>
      </c>
    </row>
    <row r="14" spans="1:13" ht="46.2" customHeight="1" x14ac:dyDescent="0.3">
      <c r="A14" s="12"/>
      <c r="B14" s="13"/>
      <c r="C14" s="13"/>
      <c r="D14" s="14"/>
      <c r="E14" s="14"/>
      <c r="F14" s="15"/>
      <c r="G14" s="16" t="str">
        <f t="shared" si="0"/>
        <v/>
      </c>
      <c r="H14" s="17" t="str">
        <f t="shared" si="1"/>
        <v/>
      </c>
      <c r="I14" s="18" t="str">
        <f t="shared" si="2"/>
        <v/>
      </c>
      <c r="J14" s="19" t="str">
        <f t="shared" si="3"/>
        <v/>
      </c>
    </row>
    <row r="15" spans="1:13" ht="46.2" customHeight="1" x14ac:dyDescent="0.3">
      <c r="A15" s="12"/>
      <c r="B15" s="13"/>
      <c r="C15" s="13"/>
      <c r="D15" s="14"/>
      <c r="E15" s="14"/>
      <c r="F15" s="15"/>
      <c r="G15" s="16" t="str">
        <f t="shared" si="0"/>
        <v/>
      </c>
      <c r="H15" s="17" t="str">
        <f t="shared" si="1"/>
        <v/>
      </c>
      <c r="I15" s="18" t="str">
        <f t="shared" si="2"/>
        <v/>
      </c>
      <c r="J15" s="19" t="str">
        <f t="shared" si="3"/>
        <v/>
      </c>
    </row>
    <row r="16" spans="1:13" ht="46.2" customHeight="1" x14ac:dyDescent="0.3">
      <c r="A16" s="12"/>
      <c r="B16" s="13"/>
      <c r="C16" s="13"/>
      <c r="D16" s="14"/>
      <c r="E16" s="14"/>
      <c r="F16" s="15"/>
      <c r="G16" s="16" t="str">
        <f t="shared" si="0"/>
        <v/>
      </c>
      <c r="H16" s="17" t="str">
        <f t="shared" si="1"/>
        <v/>
      </c>
      <c r="I16" s="18" t="str">
        <f t="shared" si="2"/>
        <v/>
      </c>
      <c r="J16" s="19" t="str">
        <f t="shared" si="3"/>
        <v/>
      </c>
    </row>
    <row r="17" spans="1:11" ht="46.2" customHeight="1" x14ac:dyDescent="0.3">
      <c r="A17" s="12"/>
      <c r="B17" s="13"/>
      <c r="C17" s="13"/>
      <c r="D17" s="14"/>
      <c r="E17" s="14"/>
      <c r="F17" s="15"/>
      <c r="G17" s="16" t="str">
        <f t="shared" si="0"/>
        <v/>
      </c>
      <c r="H17" s="17" t="str">
        <f t="shared" si="1"/>
        <v/>
      </c>
      <c r="I17" s="18" t="str">
        <f t="shared" si="2"/>
        <v/>
      </c>
      <c r="J17" s="19" t="str">
        <f t="shared" si="3"/>
        <v/>
      </c>
    </row>
    <row r="18" spans="1:11" ht="46.2" customHeight="1" x14ac:dyDescent="0.3">
      <c r="A18" s="12"/>
      <c r="B18" s="13"/>
      <c r="C18" s="13"/>
      <c r="D18" s="14"/>
      <c r="E18" s="14"/>
      <c r="F18" s="15"/>
      <c r="G18" s="16" t="str">
        <f t="shared" si="0"/>
        <v/>
      </c>
      <c r="H18" s="17" t="str">
        <f t="shared" si="1"/>
        <v/>
      </c>
      <c r="I18" s="18" t="str">
        <f t="shared" si="2"/>
        <v/>
      </c>
      <c r="J18" s="19" t="str">
        <f t="shared" si="3"/>
        <v/>
      </c>
    </row>
    <row r="19" spans="1:11" ht="46.2" customHeight="1" x14ac:dyDescent="0.3">
      <c r="A19" s="20"/>
      <c r="B19" s="21"/>
      <c r="C19" s="21"/>
      <c r="D19" s="22"/>
      <c r="E19" s="22"/>
      <c r="F19" s="23"/>
      <c r="G19" s="24" t="str">
        <f t="shared" si="0"/>
        <v/>
      </c>
      <c r="H19" s="25" t="str">
        <f t="shared" si="1"/>
        <v/>
      </c>
      <c r="I19" s="26" t="str">
        <f t="shared" si="2"/>
        <v/>
      </c>
      <c r="J19" s="27" t="str">
        <f t="shared" si="3"/>
        <v/>
      </c>
    </row>
    <row r="20" spans="1:11" ht="16.2" thickTop="1" thickBot="1" x14ac:dyDescent="0.35"/>
    <row r="21" spans="1:11" ht="30" customHeight="1" x14ac:dyDescent="0.3">
      <c r="A21" s="57" t="s">
        <v>17</v>
      </c>
      <c r="B21" s="58"/>
      <c r="C21" s="58"/>
      <c r="D21" s="59"/>
      <c r="F21" s="69" t="s">
        <v>18</v>
      </c>
      <c r="G21" s="58"/>
      <c r="H21" s="58"/>
      <c r="I21" s="58"/>
      <c r="J21" s="59"/>
    </row>
    <row r="22" spans="1:11" ht="25.05" customHeight="1" x14ac:dyDescent="0.3">
      <c r="A22" s="60" t="s">
        <v>19</v>
      </c>
      <c r="B22" s="52"/>
      <c r="C22" s="52"/>
      <c r="D22" s="61">
        <f>SUM(E8:E19)</f>
        <v>0</v>
      </c>
      <c r="F22" s="60" t="s">
        <v>26</v>
      </c>
      <c r="G22" s="52"/>
      <c r="H22" s="52"/>
      <c r="I22" s="52"/>
      <c r="J22" s="70">
        <f>SUM(J8:J19)</f>
        <v>0</v>
      </c>
    </row>
    <row r="23" spans="1:11" ht="25.05" customHeight="1" x14ac:dyDescent="0.3">
      <c r="A23" s="60" t="s">
        <v>20</v>
      </c>
      <c r="B23" s="52"/>
      <c r="C23" s="52"/>
      <c r="D23" s="61">
        <f>SUM(H8:H19)</f>
        <v>0</v>
      </c>
      <c r="F23" s="71" t="s">
        <v>28</v>
      </c>
      <c r="G23" s="53"/>
      <c r="H23" s="53"/>
      <c r="I23" s="53"/>
      <c r="J23" s="72"/>
    </row>
    <row r="24" spans="1:11" ht="25.05" customHeight="1" x14ac:dyDescent="0.3">
      <c r="A24" s="62" t="s">
        <v>33</v>
      </c>
      <c r="B24" s="53"/>
      <c r="C24" s="53"/>
      <c r="D24" s="63"/>
      <c r="F24" s="71" t="s">
        <v>29</v>
      </c>
      <c r="G24" s="53"/>
      <c r="H24" s="53"/>
      <c r="I24" s="53"/>
      <c r="J24" s="72"/>
    </row>
    <row r="25" spans="1:11" ht="25.05" customHeight="1" x14ac:dyDescent="0.3">
      <c r="A25" s="64"/>
      <c r="B25" s="54"/>
      <c r="C25" s="55"/>
      <c r="D25" s="63"/>
      <c r="F25" s="71" t="s">
        <v>30</v>
      </c>
      <c r="G25" s="53"/>
      <c r="H25" s="53"/>
      <c r="I25" s="53"/>
      <c r="J25" s="72"/>
    </row>
    <row r="26" spans="1:11" ht="25.05" customHeight="1" x14ac:dyDescent="0.3">
      <c r="A26" s="64"/>
      <c r="B26" s="54"/>
      <c r="C26" s="55"/>
      <c r="D26" s="63"/>
      <c r="F26" s="71" t="s">
        <v>31</v>
      </c>
      <c r="G26" s="53"/>
      <c r="H26" s="53"/>
      <c r="I26" s="53"/>
      <c r="J26" s="72"/>
    </row>
    <row r="27" spans="1:11" ht="25.05" customHeight="1" x14ac:dyDescent="0.3">
      <c r="A27" s="62"/>
      <c r="B27" s="53"/>
      <c r="C27" s="53"/>
      <c r="D27" s="63"/>
      <c r="F27" s="71" t="s">
        <v>32</v>
      </c>
      <c r="G27" s="53"/>
      <c r="H27" s="53"/>
      <c r="I27" s="53"/>
      <c r="J27" s="72"/>
    </row>
    <row r="28" spans="1:11" ht="25.05" customHeight="1" x14ac:dyDescent="0.3">
      <c r="A28" s="62"/>
      <c r="B28" s="53"/>
      <c r="C28" s="53"/>
      <c r="D28" s="63"/>
      <c r="F28" s="62"/>
      <c r="G28" s="53"/>
      <c r="H28" s="53"/>
      <c r="I28" s="53"/>
      <c r="J28" s="72"/>
    </row>
    <row r="29" spans="1:11" ht="25.05" customHeight="1" x14ac:dyDescent="0.3">
      <c r="A29" s="62"/>
      <c r="B29" s="53"/>
      <c r="C29" s="53"/>
      <c r="D29" s="63"/>
      <c r="F29" s="62"/>
      <c r="G29" s="53"/>
      <c r="H29" s="53"/>
      <c r="I29" s="53"/>
      <c r="J29" s="72"/>
    </row>
    <row r="30" spans="1:11" ht="30" customHeight="1" thickBot="1" x14ac:dyDescent="0.35">
      <c r="A30" s="65" t="s">
        <v>21</v>
      </c>
      <c r="B30" s="66"/>
      <c r="C30" s="66"/>
      <c r="D30" s="67">
        <f>D22+D23+D24+D25+D26+D27+D28+D29</f>
        <v>0</v>
      </c>
      <c r="F30" s="65" t="s">
        <v>22</v>
      </c>
      <c r="G30" s="66"/>
      <c r="H30" s="66"/>
      <c r="I30" s="66"/>
      <c r="J30" s="67">
        <f>J22+J23+J24+J25+J26+J27+J28+J29</f>
        <v>0</v>
      </c>
    </row>
    <row r="31" spans="1:11" ht="49.95" customHeight="1" thickTop="1" thickBot="1" x14ac:dyDescent="0.35">
      <c r="A31" s="56" t="str">
        <f>IF(K31&gt;0, "最終結算：賣方應找補買方 $" &amp; TEXT(K31, "#,##0"), IF(K31&lt;0, "最終結算：買方應找補賣方 $" &amp; TEXT(ABS(K31), "#,##0"), "最終結算：雙方無須找補"))</f>
        <v>最終結算：雙方無須找補</v>
      </c>
      <c r="B31" s="38"/>
      <c r="C31" s="38"/>
      <c r="D31" s="38"/>
      <c r="E31" s="31"/>
      <c r="F31" s="38"/>
      <c r="G31" s="38"/>
      <c r="H31" s="38"/>
      <c r="I31" s="38"/>
      <c r="J31" s="68"/>
      <c r="K31">
        <f>(D30) - (J30)</f>
        <v>0</v>
      </c>
    </row>
    <row r="32" spans="1:11" ht="16.2" thickTop="1" thickBot="1" x14ac:dyDescent="0.35"/>
    <row r="33" spans="1:10" ht="49.95" customHeight="1" x14ac:dyDescent="0.3">
      <c r="A33" s="30" t="s">
        <v>23</v>
      </c>
      <c r="B33" s="31"/>
      <c r="C33" s="32"/>
      <c r="F33" s="30" t="s">
        <v>24</v>
      </c>
      <c r="G33" s="31"/>
      <c r="H33" s="32"/>
    </row>
    <row r="35" spans="1:10" x14ac:dyDescent="0.3">
      <c r="A35" s="33"/>
      <c r="B35" s="41"/>
      <c r="C35" s="41"/>
      <c r="D35" s="41"/>
      <c r="E35" s="41"/>
      <c r="F35" s="41"/>
      <c r="G35" s="41"/>
      <c r="H35" s="41"/>
      <c r="I35" s="41"/>
      <c r="J35" s="42"/>
    </row>
    <row r="36" spans="1:10" x14ac:dyDescent="0.3">
      <c r="A36" s="43"/>
      <c r="B36" s="44"/>
      <c r="C36" s="44"/>
      <c r="D36" s="44"/>
      <c r="E36" s="44"/>
      <c r="F36" s="44"/>
      <c r="G36" s="44"/>
      <c r="H36" s="44"/>
      <c r="I36" s="44"/>
      <c r="J36" s="45"/>
    </row>
    <row r="37" spans="1:10" x14ac:dyDescent="0.3">
      <c r="A37" s="43"/>
      <c r="B37" s="44"/>
      <c r="C37" s="44"/>
      <c r="D37" s="44"/>
      <c r="E37" s="44"/>
      <c r="F37" s="44"/>
      <c r="G37" s="44"/>
      <c r="H37" s="44"/>
      <c r="I37" s="44"/>
      <c r="J37" s="45"/>
    </row>
    <row r="38" spans="1:10" x14ac:dyDescent="0.3">
      <c r="A38" s="43"/>
      <c r="B38" s="44"/>
      <c r="C38" s="44"/>
      <c r="D38" s="44"/>
      <c r="E38" s="44"/>
      <c r="F38" s="44"/>
      <c r="G38" s="44"/>
      <c r="H38" s="44"/>
      <c r="I38" s="44"/>
      <c r="J38" s="45"/>
    </row>
    <row r="39" spans="1:10" ht="56.4" customHeight="1" x14ac:dyDescent="0.3">
      <c r="A39" s="46"/>
      <c r="B39" s="47"/>
      <c r="C39" s="47"/>
      <c r="D39" s="47"/>
      <c r="E39" s="47"/>
      <c r="F39" s="47"/>
      <c r="G39" s="47"/>
      <c r="H39" s="47"/>
      <c r="I39" s="47"/>
      <c r="J39" s="48"/>
    </row>
    <row r="40" spans="1:10" ht="15.6" thickTop="1" x14ac:dyDescent="0.3"/>
    <row r="41" spans="1:10" x14ac:dyDescent="0.3">
      <c r="J41" s="73"/>
    </row>
  </sheetData>
  <sheetProtection algorithmName="SHA-512" hashValue="7iCrAMXpY5z2C65CSle984s2lY9mbFO4pCkkRFq8MZKbHHvDwb4fwqvuQBNzEXzvCe2RzwdL0RDIwafufOFdQQ==" saltValue="j5OHss5/HdkgOUXdT8eyGA==" spinCount="100000" sheet="1" objects="1" scenarios="1"/>
  <mergeCells count="31">
    <mergeCell ref="A1:J1"/>
    <mergeCell ref="F28:I28"/>
    <mergeCell ref="F24:I24"/>
    <mergeCell ref="F30:I30"/>
    <mergeCell ref="A30:C30"/>
    <mergeCell ref="B2:E2"/>
    <mergeCell ref="B3:J3"/>
    <mergeCell ref="F26:I26"/>
    <mergeCell ref="C5:E5"/>
    <mergeCell ref="A21:D21"/>
    <mergeCell ref="F23:I23"/>
    <mergeCell ref="F22:I22"/>
    <mergeCell ref="C6:G6"/>
    <mergeCell ref="A26:C26"/>
    <mergeCell ref="A35:J39"/>
    <mergeCell ref="A22:C22"/>
    <mergeCell ref="F29:I29"/>
    <mergeCell ref="G2:J2"/>
    <mergeCell ref="F25:I25"/>
    <mergeCell ref="A29:C29"/>
    <mergeCell ref="A28:C28"/>
    <mergeCell ref="A25:C25"/>
    <mergeCell ref="D4:J4"/>
    <mergeCell ref="F27:I27"/>
    <mergeCell ref="F33:H33"/>
    <mergeCell ref="A27:C27"/>
    <mergeCell ref="A24:C24"/>
    <mergeCell ref="A33:C33"/>
    <mergeCell ref="F21:J21"/>
    <mergeCell ref="A31:J31"/>
    <mergeCell ref="A23:C23"/>
  </mergeCells>
  <phoneticPr fontId="11" type="noConversion"/>
  <dataValidations count="1">
    <dataValidation type="list" sqref="B5" xr:uid="{00000000-0002-0000-0000-000000000000}">
      <formula1>"歸買方,歸賣方"</formula1>
    </dataValidation>
  </dataValidations>
  <pageMargins left="0.25" right="0.25" top="0.5" bottom="0.5" header="0.5" footer="0.5"/>
  <pageSetup paperSize="9" scale="51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具名範圍</vt:lpstr>
      </vt:variant>
      <vt:variant>
        <vt:i4>1</vt:i4>
      </vt:variant>
    </vt:vector>
  </HeadingPairs>
  <TitlesOfParts>
    <vt:vector size="2" baseType="lpstr">
      <vt:lpstr>交屋分算(費用明細)</vt:lpstr>
      <vt:lpstr>'交屋分算(費用明細)'!Print_Titles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znom</cp:lastModifiedBy>
  <cp:lastPrinted>2025-11-28T14:58:53Z</cp:lastPrinted>
  <dcterms:created xsi:type="dcterms:W3CDTF">2025-11-28T14:22:14Z</dcterms:created>
  <dcterms:modified xsi:type="dcterms:W3CDTF">2025-11-28T15:03:49Z</dcterms:modified>
</cp:coreProperties>
</file>