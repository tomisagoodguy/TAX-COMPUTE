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TAX-COMPUTE\"/>
    </mc:Choice>
  </mc:AlternateContent>
  <xr:revisionPtr revIDLastSave="0" documentId="13_ncr:1_{45509E27-19E9-4A97-88AF-3297B9041C32}" xr6:coauthVersionLast="47" xr6:coauthVersionMax="47" xr10:uidLastSave="{00000000-0000-0000-0000-000000000000}"/>
  <bookViews>
    <workbookView xWindow="21480" yWindow="-120" windowWidth="29040" windowHeight="15720" xr2:uid="{00000000-000D-0000-FFFF-FFFF00000000}"/>
  </bookViews>
  <sheets>
    <sheet name="拆價與財交稅試算" sheetId="1" r:id="rId1"/>
    <sheet name="113年度稅率參照表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/>
  <c r="C17" i="1"/>
  <c r="D13" i="1"/>
  <c r="C13" i="1"/>
  <c r="D12" i="1"/>
  <c r="C12" i="1"/>
  <c r="B10" i="1"/>
  <c r="C14" i="1" l="1"/>
  <c r="D14" i="1"/>
</calcChain>
</file>

<file path=xl/sharedStrings.xml><?xml version="1.0" encoding="utf-8"?>
<sst xmlns="http://schemas.openxmlformats.org/spreadsheetml/2006/main" count="116" uniqueCount="86">
  <si>
    <t>房地拆價與財交稅試算表</t>
  </si>
  <si>
    <t>1. 土地公告現值 (L)</t>
  </si>
  <si>
    <t>元</t>
  </si>
  <si>
    <t>2. 建物評定/公告現值 (B)</t>
  </si>
  <si>
    <t>3. 成交總價 (T)</t>
  </si>
  <si>
    <t>4. 車位價格 (若無則免填)</t>
  </si>
  <si>
    <t>5. 所得標準率 (輸入10或0.1)</t>
  </si>
  <si>
    <t>查詢113年稅率表 &gt;&gt;</t>
  </si>
  <si>
    <t>拆分項目</t>
  </si>
  <si>
    <t>一般個人 (未稅)</t>
  </si>
  <si>
    <t>法人/公司 (含稅)</t>
  </si>
  <si>
    <t>土地拆價</t>
  </si>
  <si>
    <t>建物拆價</t>
  </si>
  <si>
    <t>驗算總價 (含車位)</t>
  </si>
  <si>
    <t>【舊制財交稅試算結果】</t>
  </si>
  <si>
    <t>房地比 (建物/總現值)</t>
  </si>
  <si>
    <t>出售房屋財交所得額</t>
  </si>
  <si>
    <t>【使用提示與計算邏輯說明】</t>
  </si>
  <si>
    <t>縣市/類別</t>
  </si>
  <si>
    <t>行政區或條件</t>
  </si>
  <si>
    <t>標準/稅率</t>
  </si>
  <si>
    <t>備註</t>
  </si>
  <si>
    <t>【第一類：高總價/豪宅 (採實際成交金額計算)】</t>
  </si>
  <si>
    <t>臺北市</t>
  </si>
  <si>
    <t>房地總成交金額 ≧ 6,000萬元 或 單價 ≧ 120萬/坪</t>
  </si>
  <si>
    <t>按實際所得核實</t>
  </si>
  <si>
    <t>無法舉證成本者，採收入 × 房地比 × 20%</t>
  </si>
  <si>
    <t>新北市</t>
  </si>
  <si>
    <t>房地總成交金額 ≧ 4,000萬元 或 單價 ≧ 75萬/坪</t>
  </si>
  <si>
    <t>同上</t>
  </si>
  <si>
    <t>桃園/竹縣市/中/南/高</t>
  </si>
  <si>
    <t>房地總成交金額 ≧ 3,000萬元 或 單價 ≧ 50萬/坪</t>
  </si>
  <si>
    <t>其他地區</t>
  </si>
  <si>
    <t>房地總成交金額 ≧ 2,200萬元 或 單價 ≧ 35萬/坪</t>
  </si>
  <si>
    <t>【第二類：一般案件 (房屋評定現值 × 稅率)】 - 財政部 114.2.19 公告</t>
  </si>
  <si>
    <t>中山區、松山區、中正區、大安區、信義區</t>
  </si>
  <si>
    <t>48%</t>
  </si>
  <si>
    <t>士林區、內湖區、大同區、南港區</t>
  </si>
  <si>
    <t>46%</t>
  </si>
  <si>
    <t>北投區、萬華區、文山區</t>
  </si>
  <si>
    <t>45%</t>
  </si>
  <si>
    <t>板橋、永和、中和、三重、新店、蘆洲、新莊、土城</t>
  </si>
  <si>
    <t>44%</t>
  </si>
  <si>
    <t>林口區</t>
  </si>
  <si>
    <t>42%</t>
  </si>
  <si>
    <t>汐止區、樹林區</t>
  </si>
  <si>
    <t>41%</t>
  </si>
  <si>
    <t>泰山區</t>
  </si>
  <si>
    <t>36%</t>
  </si>
  <si>
    <t>五股區、三峽區</t>
  </si>
  <si>
    <t>34%</t>
  </si>
  <si>
    <t>淡水區</t>
  </si>
  <si>
    <t>29%</t>
  </si>
  <si>
    <t>八里區</t>
  </si>
  <si>
    <t>27%</t>
  </si>
  <si>
    <t>鶯歌區</t>
  </si>
  <si>
    <t>24%</t>
  </si>
  <si>
    <t>深坑區</t>
  </si>
  <si>
    <t>23%</t>
  </si>
  <si>
    <t>金山區、三芝區、萬里區</t>
  </si>
  <si>
    <t>19%</t>
  </si>
  <si>
    <t>瑞芳區</t>
  </si>
  <si>
    <t>18%</t>
  </si>
  <si>
    <t>石碇、烏來、平溪、坪林、石門、雙溪、貢寮</t>
  </si>
  <si>
    <t>14%</t>
  </si>
  <si>
    <t>桃園市</t>
  </si>
  <si>
    <t>桃園區、中壢區</t>
  </si>
  <si>
    <t>33%</t>
  </si>
  <si>
    <t>龜山區、蘆竹區、八德區</t>
  </si>
  <si>
    <t>32%</t>
  </si>
  <si>
    <t>臺中市</t>
  </si>
  <si>
    <t>西屯區、南屯區</t>
  </si>
  <si>
    <t>35%</t>
  </si>
  <si>
    <t>北屯區、西區</t>
  </si>
  <si>
    <t>臺南市</t>
  </si>
  <si>
    <t>東區</t>
  </si>
  <si>
    <t>30%</t>
  </si>
  <si>
    <t>高雄市</t>
  </si>
  <si>
    <t>左營、鼓山、三民</t>
  </si>
  <si>
    <t>37%</t>
  </si>
  <si>
    <t>苓雅、前鎮</t>
  </si>
  <si>
    <t>新竹市</t>
  </si>
  <si>
    <t>全區</t>
  </si>
  <si>
    <t>新竹縣</t>
  </si>
  <si>
    <t>竹北市</t>
  </si>
  <si>
    <t>1. 拆算核心邏輯：
   先將 [成交總價] 扣除 [車位價格] 得到房地淨額，再依下列比例拆分。
2. 兩種情境的比例計算方式：
   ● 一般個人 (未稅)：
     不考慮營業稅，直接依公告現值比例拆分。
     → 土地比例公式：土地現值 ÷ (土地現值 + 建物現值)
     → 建物比例公式：建物現值 ÷ (土地現值 + 建物現值)
   ● 法人/公司 (含稅)：
     因法人出售建物需開立含 5% 營業稅發票，故建物價值需加權。
     → 土地比例公式：土地現值 ÷ (土地現值 + 建物現值 × 1.05)
     → 建物比例公式：(建物現值 × 1.05) ÷ (土地現值 + 建物現值 × 1.05)
     (註：此法會使建物的拆價金額略高，以反映含稅價值)
3. 驗算確認：
   本表下方已將拆分後的房地與車位加回，總額應等於成交總價。
4. 房地比與財交稅：
   房地比格式顯示為小數點 (如 0.32)，方便直接填寫申報書。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</si>
</sst>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新細明體"/>
      <family val="2"/>
      <scheme val="minor"/>
    </font>
    <font>
      <b/>
      <sz val="16"/>
      <color rgb="FF333333"/>
      <name val="Microsoft JhengHei"/>
      <family val="2"/>
    </font>
    <font>
      <b/>
      <sz val="11"/>
      <color rgb="FFFFFFFF"/>
      <name val="Microsoft JhengHei"/>
      <family val="2"/>
    </font>
    <font>
      <b/>
      <sz val="11"/>
      <color rgb="FF7F6000"/>
      <name val="Microsoft JhengHei"/>
      <family val="2"/>
    </font>
    <font>
      <b/>
      <sz val="14"/>
      <color rgb="FF000000"/>
      <name val="Microsoft JhengHei"/>
      <family val="2"/>
    </font>
    <font>
      <sz val="10"/>
      <color rgb="FF808080"/>
      <name val="Microsoft JhengHei"/>
      <family val="2"/>
    </font>
    <font>
      <sz val="10"/>
      <color rgb="FF404040"/>
      <name val="Microsoft JhengHei"/>
      <family val="2"/>
    </font>
    <font>
      <u/>
      <sz val="10"/>
      <color rgb="FF0000FF"/>
      <name val="Microsoft JhengHei"/>
      <family val="2"/>
    </font>
    <font>
      <b/>
      <sz val="11"/>
      <color rgb="FF333333"/>
      <name val="Microsoft JhengHei"/>
      <family val="2"/>
    </font>
    <font>
      <b/>
      <sz val="11"/>
      <color rgb="FF375623"/>
      <name val="Microsoft JhengHei"/>
      <family val="2"/>
    </font>
    <font>
      <b/>
      <sz val="11"/>
      <color rgb="FF1F4E78"/>
      <name val="Microsoft JhengHei"/>
      <family val="2"/>
    </font>
    <font>
      <b/>
      <sz val="13"/>
      <color rgb="FF375623"/>
      <name val="Microsoft JhengHei"/>
      <family val="2"/>
    </font>
    <font>
      <b/>
      <sz val="13"/>
      <color rgb="FF1F4E78"/>
      <name val="Microsoft JhengHei"/>
      <family val="2"/>
    </font>
    <font>
      <sz val="10"/>
      <color rgb="FF595959"/>
      <name val="Microsoft JhengHei"/>
      <family val="2"/>
    </font>
    <font>
      <b/>
      <sz val="11"/>
      <color rgb="FFC65911"/>
      <name val="Microsoft JhengHei"/>
      <family val="2"/>
    </font>
    <font>
      <b/>
      <sz val="13"/>
      <color rgb="FF333333"/>
      <name val="Microsoft JhengHei"/>
      <family val="2"/>
    </font>
    <font>
      <b/>
      <sz val="13"/>
      <color rgb="FFC65911"/>
      <name val="Microsoft JhengHei"/>
      <family val="2"/>
    </font>
    <font>
      <b/>
      <sz val="12"/>
      <color rgb="FFFFFFFF"/>
      <name val="Microsoft JhengHei"/>
      <family val="2"/>
    </font>
    <font>
      <b/>
      <sz val="11"/>
      <color rgb="FF000000"/>
      <name val="Microsoft JhengHei"/>
      <family val="2"/>
    </font>
    <font>
      <sz val="10"/>
      <color theme="1"/>
      <name val="Microsoft JhengHei"/>
      <family val="2"/>
    </font>
    <font>
      <b/>
      <sz val="10"/>
      <color rgb="FFC00000"/>
      <name val="Microsoft JhengHei"/>
      <family val="2"/>
    </font>
    <font>
      <sz val="9"/>
      <name val="新細明體"/>
      <family val="3"/>
      <charset val="136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70AD4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D9D9D9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D9D9D9"/>
      </right>
      <top style="thin">
        <color auto="1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3" borderId="2" xfId="0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8" fillId="7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3" fontId="11" fillId="10" borderId="1" xfId="0" applyNumberFormat="1" applyFont="1" applyFill="1" applyBorder="1" applyAlignment="1">
      <alignment horizontal="right" vertical="center"/>
    </xf>
    <xf numFmtId="3" fontId="12" fillId="10" borderId="1" xfId="0" applyNumberFormat="1" applyFont="1" applyFill="1" applyBorder="1" applyAlignment="1">
      <alignment horizontal="right" vertical="center"/>
    </xf>
    <xf numFmtId="0" fontId="13" fillId="11" borderId="1" xfId="0" applyFont="1" applyFill="1" applyBorder="1" applyAlignment="1">
      <alignment horizontal="right" vertical="center"/>
    </xf>
    <xf numFmtId="3" fontId="13" fillId="11" borderId="1" xfId="0" applyNumberFormat="1" applyFont="1" applyFill="1" applyBorder="1" applyAlignment="1">
      <alignment horizontal="right" vertical="center"/>
    </xf>
    <xf numFmtId="0" fontId="17" fillId="13" borderId="1" xfId="0" applyFont="1" applyFill="1" applyBorder="1"/>
    <xf numFmtId="0" fontId="19" fillId="0" borderId="1" xfId="0" applyFont="1" applyBorder="1" applyAlignment="1">
      <alignment vertical="top" wrapText="1"/>
    </xf>
    <xf numFmtId="0" fontId="20" fillId="0" borderId="1" xfId="0" applyFont="1" applyBorder="1" applyAlignment="1">
      <alignment horizontal="center" vertical="top"/>
    </xf>
    <xf numFmtId="3" fontId="4" fillId="4" borderId="2" xfId="0" applyNumberFormat="1" applyFont="1" applyFill="1" applyBorder="1" applyAlignment="1" applyProtection="1">
      <alignment horizontal="right" vertical="center"/>
      <protection locked="0"/>
    </xf>
    <xf numFmtId="0" fontId="4" fillId="4" borderId="2" xfId="0" applyFont="1" applyFill="1" applyBorder="1" applyAlignment="1" applyProtection="1">
      <alignment horizontal="right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top" wrapText="1"/>
    </xf>
    <xf numFmtId="0" fontId="6" fillId="5" borderId="4" xfId="0" applyFont="1" applyFill="1" applyBorder="1" applyAlignment="1">
      <alignment horizontal="left" vertical="top" wrapText="1"/>
    </xf>
    <xf numFmtId="0" fontId="6" fillId="5" borderId="5" xfId="0" applyFont="1" applyFill="1" applyBorder="1" applyAlignment="1">
      <alignment horizontal="left" vertical="top" wrapText="1"/>
    </xf>
    <xf numFmtId="0" fontId="6" fillId="5" borderId="6" xfId="0" applyFont="1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top" wrapText="1"/>
    </xf>
    <xf numFmtId="0" fontId="6" fillId="5" borderId="7" xfId="0" applyFont="1" applyFill="1" applyBorder="1" applyAlignment="1">
      <alignment horizontal="left" vertical="top" wrapText="1"/>
    </xf>
    <xf numFmtId="0" fontId="6" fillId="5" borderId="8" xfId="0" applyFont="1" applyFill="1" applyBorder="1" applyAlignment="1">
      <alignment horizontal="left" vertical="top" wrapText="1"/>
    </xf>
    <xf numFmtId="0" fontId="6" fillId="5" borderId="9" xfId="0" applyFont="1" applyFill="1" applyBorder="1" applyAlignment="1">
      <alignment horizontal="left" vertical="top" wrapText="1"/>
    </xf>
    <xf numFmtId="0" fontId="6" fillId="5" borderId="1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/>
    </xf>
    <xf numFmtId="2" fontId="15" fillId="10" borderId="1" xfId="0" applyNumberFormat="1" applyFont="1" applyFill="1" applyBorder="1" applyAlignment="1">
      <alignment horizontal="right" vertical="center"/>
    </xf>
    <xf numFmtId="3" fontId="16" fillId="10" borderId="1" xfId="0" applyNumberFormat="1" applyFont="1" applyFill="1" applyBorder="1" applyAlignment="1">
      <alignment horizontal="right" vertical="center"/>
    </xf>
    <xf numFmtId="0" fontId="18" fillId="14" borderId="1" xfId="0" applyFont="1" applyFill="1" applyBorder="1"/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32384</xdr:colOff>
      <xdr:row>1</xdr:row>
      <xdr:rowOff>159850</xdr:rowOff>
    </xdr:from>
    <xdr:to>
      <xdr:col>15</xdr:col>
      <xdr:colOff>323850</xdr:colOff>
      <xdr:row>12</xdr:row>
      <xdr:rowOff>79959</xdr:rowOff>
    </xdr:to>
    <xdr:pic macro="[0]!清除輸入並鎖定">
      <xdr:nvPicPr>
        <xdr:cNvPr id="3" name="圖片 2">
          <a:extLst>
            <a:ext uri="{FF2B5EF4-FFF2-40B4-BE49-F238E27FC236}">
              <a16:creationId xmlns:a16="http://schemas.microsoft.com/office/drawing/2014/main" id="{1DC8A0A6-BFBC-B929-1744-3680439B9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57459" y="598000"/>
          <a:ext cx="3040381" cy="2996684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1:H18"/>
  <sheetViews>
    <sheetView showGridLines="0" tabSelected="1" workbookViewId="0">
      <selection activeCell="C4" sqref="C4"/>
    </sheetView>
  </sheetViews>
  <sheetFormatPr defaultRowHeight="15"/>
  <cols>
    <col min="1" max="1" width="2.75" customWidth="1"/>
    <col min="2" max="2" width="34.5" bestFit="1" customWidth="1"/>
    <col min="3" max="3" width="24.625" customWidth="1"/>
    <col min="4" max="4" width="20.75" customWidth="1"/>
    <col min="5" max="5" width="2.75" customWidth="1"/>
    <col min="6" max="6" width="18.125" customWidth="1"/>
    <col min="7" max="7" width="19.125" customWidth="1"/>
    <col min="8" max="8" width="25.125" customWidth="1"/>
  </cols>
  <sheetData>
    <row r="1" spans="2:8" ht="34.950000000000003" customHeight="1">
      <c r="B1" s="28" t="s">
        <v>0</v>
      </c>
      <c r="C1" s="28"/>
      <c r="D1" s="28"/>
    </row>
    <row r="3" spans="2:8">
      <c r="F3" s="16" t="s">
        <v>17</v>
      </c>
      <c r="G3" s="17"/>
      <c r="H3" s="18"/>
    </row>
    <row r="4" spans="2:8" ht="30" customHeight="1">
      <c r="B4" s="1" t="s">
        <v>1</v>
      </c>
      <c r="C4" s="13"/>
      <c r="D4" s="2" t="s">
        <v>2</v>
      </c>
      <c r="F4" s="19" t="s">
        <v>85</v>
      </c>
      <c r="G4" s="20"/>
      <c r="H4" s="21"/>
    </row>
    <row r="5" spans="2:8" ht="30" customHeight="1">
      <c r="B5" s="1" t="s">
        <v>3</v>
      </c>
      <c r="C5" s="13"/>
      <c r="D5" s="2" t="s">
        <v>2</v>
      </c>
      <c r="F5" s="22"/>
      <c r="G5" s="23"/>
      <c r="H5" s="24"/>
    </row>
    <row r="6" spans="2:8" ht="30" customHeight="1">
      <c r="B6" s="1" t="s">
        <v>4</v>
      </c>
      <c r="C6" s="13"/>
      <c r="D6" s="2" t="s">
        <v>2</v>
      </c>
      <c r="F6" s="22"/>
      <c r="G6" s="23"/>
      <c r="H6" s="24"/>
    </row>
    <row r="7" spans="2:8" ht="30" customHeight="1">
      <c r="B7" s="1" t="s">
        <v>5</v>
      </c>
      <c r="C7" s="13"/>
      <c r="D7" s="2" t="s">
        <v>2</v>
      </c>
      <c r="F7" s="22"/>
      <c r="G7" s="23"/>
      <c r="H7" s="24"/>
    </row>
    <row r="8" spans="2:8" ht="30" customHeight="1">
      <c r="B8" s="1" t="s">
        <v>6</v>
      </c>
      <c r="C8" s="14"/>
      <c r="D8" s="15" t="s">
        <v>7</v>
      </c>
      <c r="F8" s="22"/>
      <c r="G8" s="23"/>
      <c r="H8" s="24"/>
    </row>
    <row r="9" spans="2:8">
      <c r="F9" s="22"/>
      <c r="G9" s="23"/>
      <c r="H9" s="24"/>
    </row>
    <row r="10" spans="2:8">
      <c r="B10" s="29" t="str">
        <f>"計算基準： "&amp;TEXT(C6,"#,##0")&amp;" - "&amp;TEXT(C7,"#,##0")&amp;" = "&amp;TEXT(C6-C7,"#,##0")</f>
        <v>計算基準： 0 - 0 = 0</v>
      </c>
      <c r="C10" s="29"/>
      <c r="D10" s="29"/>
      <c r="F10" s="22"/>
      <c r="G10" s="23"/>
      <c r="H10" s="24"/>
    </row>
    <row r="11" spans="2:8">
      <c r="B11" s="3" t="s">
        <v>8</v>
      </c>
      <c r="C11" s="4" t="s">
        <v>9</v>
      </c>
      <c r="D11" s="5" t="s">
        <v>10</v>
      </c>
      <c r="F11" s="22"/>
      <c r="G11" s="23"/>
      <c r="H11" s="24"/>
    </row>
    <row r="12" spans="2:8" ht="17.399999999999999">
      <c r="B12" s="3" t="s">
        <v>11</v>
      </c>
      <c r="C12" s="6">
        <f>IF(C6=0,0, (C6-C7) * (C4/(C4+C5)))</f>
        <v>0</v>
      </c>
      <c r="D12" s="7">
        <f>IF(C6=0,0, (C6-C7) * (C4/(C4+C5*1.05)))</f>
        <v>0</v>
      </c>
      <c r="F12" s="22"/>
      <c r="G12" s="23"/>
      <c r="H12" s="24"/>
    </row>
    <row r="13" spans="2:8" ht="17.399999999999999">
      <c r="B13" s="3" t="s">
        <v>12</v>
      </c>
      <c r="C13" s="6">
        <f>IF(C6=0,0, (C6-C7) * (C5/(C4+C5)))</f>
        <v>0</v>
      </c>
      <c r="D13" s="7">
        <f>IF(C6=0,0, (C6-C7) * ((C5*1.05)/(C4+C5*1.05)))</f>
        <v>0</v>
      </c>
      <c r="F13" s="22"/>
      <c r="G13" s="23"/>
      <c r="H13" s="24"/>
    </row>
    <row r="14" spans="2:8">
      <c r="B14" s="8" t="s">
        <v>13</v>
      </c>
      <c r="C14" s="9">
        <f>C12+C13+C7</f>
        <v>0</v>
      </c>
      <c r="D14" s="9">
        <f>D12+D13+C7</f>
        <v>0</v>
      </c>
      <c r="F14" s="22"/>
      <c r="G14" s="23"/>
      <c r="H14" s="24"/>
    </row>
    <row r="15" spans="2:8">
      <c r="F15" s="22"/>
      <c r="G15" s="23"/>
      <c r="H15" s="24"/>
    </row>
    <row r="16" spans="2:8">
      <c r="B16" s="30" t="s">
        <v>14</v>
      </c>
      <c r="C16" s="30"/>
      <c r="D16" s="30"/>
      <c r="F16" s="22"/>
      <c r="G16" s="23"/>
      <c r="H16" s="24"/>
    </row>
    <row r="17" spans="2:8" ht="26.4" customHeight="1">
      <c r="B17" s="3" t="s">
        <v>15</v>
      </c>
      <c r="C17" s="31">
        <f>IF((C4+C5)=0, 0, C5/(C4+C5))</f>
        <v>0</v>
      </c>
      <c r="D17" s="31"/>
      <c r="F17" s="22"/>
      <c r="G17" s="23"/>
      <c r="H17" s="24"/>
    </row>
    <row r="18" spans="2:8" ht="23.4" customHeight="1">
      <c r="B18" s="3" t="s">
        <v>16</v>
      </c>
      <c r="C18" s="32">
        <f>ROUND(C5 * IF(C8&gt;=1, C8/100, C8), 0)</f>
        <v>0</v>
      </c>
      <c r="D18" s="32"/>
      <c r="F18" s="25"/>
      <c r="G18" s="26"/>
      <c r="H18" s="27"/>
    </row>
  </sheetData>
  <sheetProtection algorithmName="SHA-512" hashValue="3yrUyULS3TuSm88KqhafWAZE3hrC5eWfijbny9HZONF5uPx+CP1+HDwJPfWDgkyRgrN3JqtBdep4dTU4YwFp3A==" saltValue="83I1fWloO1Ul9ZkNk06Ubg==" spinCount="100000" sheet="1" objects="1" scenarios="1" selectLockedCells="1"/>
  <mergeCells count="7">
    <mergeCell ref="F3:H3"/>
    <mergeCell ref="F4:H18"/>
    <mergeCell ref="B1:D1"/>
    <mergeCell ref="B10:D10"/>
    <mergeCell ref="B16:D16"/>
    <mergeCell ref="C17:D17"/>
    <mergeCell ref="C18:D18"/>
  </mergeCells>
  <phoneticPr fontId="21" type="noConversion"/>
  <hyperlinks>
    <hyperlink ref="D8" location="'113年度稅率參照表'!A1" display="查詢113年稅率表 &gt;&gt;" xr:uid="{00000000-0004-0000-0000-00000000000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32"/>
  <sheetViews>
    <sheetView workbookViewId="0">
      <selection activeCell="F16" sqref="F16"/>
    </sheetView>
  </sheetViews>
  <sheetFormatPr defaultRowHeight="15"/>
  <cols>
    <col min="1" max="1" width="23.75" customWidth="1"/>
    <col min="2" max="2" width="40.75" customWidth="1"/>
    <col min="3" max="3" width="15.75" customWidth="1"/>
    <col min="4" max="4" width="30.75" customWidth="1"/>
  </cols>
  <sheetData>
    <row r="1" spans="1:4" ht="15.6">
      <c r="A1" s="10" t="s">
        <v>18</v>
      </c>
      <c r="B1" s="10" t="s">
        <v>19</v>
      </c>
      <c r="C1" s="10" t="s">
        <v>20</v>
      </c>
      <c r="D1" s="10" t="s">
        <v>21</v>
      </c>
    </row>
    <row r="2" spans="1:4">
      <c r="A2" s="33" t="s">
        <v>22</v>
      </c>
      <c r="B2" s="33"/>
      <c r="C2" s="33"/>
      <c r="D2" s="33"/>
    </row>
    <row r="3" spans="1:4" ht="27.6">
      <c r="A3" s="11" t="s">
        <v>23</v>
      </c>
      <c r="B3" s="11" t="s">
        <v>24</v>
      </c>
      <c r="C3" s="12" t="s">
        <v>25</v>
      </c>
      <c r="D3" s="11" t="s">
        <v>26</v>
      </c>
    </row>
    <row r="4" spans="1:4" ht="27.6">
      <c r="A4" s="11" t="s">
        <v>27</v>
      </c>
      <c r="B4" s="11" t="s">
        <v>28</v>
      </c>
      <c r="C4" s="12" t="s">
        <v>25</v>
      </c>
      <c r="D4" s="11" t="s">
        <v>29</v>
      </c>
    </row>
    <row r="5" spans="1:4" ht="27.6">
      <c r="A5" s="11" t="s">
        <v>30</v>
      </c>
      <c r="B5" s="11" t="s">
        <v>31</v>
      </c>
      <c r="C5" s="12" t="s">
        <v>25</v>
      </c>
      <c r="D5" s="11" t="s">
        <v>29</v>
      </c>
    </row>
    <row r="6" spans="1:4" ht="27.6">
      <c r="A6" s="11" t="s">
        <v>32</v>
      </c>
      <c r="B6" s="11" t="s">
        <v>33</v>
      </c>
      <c r="C6" s="12" t="s">
        <v>25</v>
      </c>
      <c r="D6" s="11" t="s">
        <v>29</v>
      </c>
    </row>
    <row r="8" spans="1:4">
      <c r="A8" s="33" t="s">
        <v>34</v>
      </c>
      <c r="B8" s="33"/>
      <c r="C8" s="33"/>
      <c r="D8" s="33"/>
    </row>
    <row r="9" spans="1:4" ht="27.6">
      <c r="A9" s="11" t="s">
        <v>23</v>
      </c>
      <c r="B9" s="11" t="s">
        <v>35</v>
      </c>
      <c r="C9" s="12" t="s">
        <v>36</v>
      </c>
      <c r="D9" s="11"/>
    </row>
    <row r="10" spans="1:4">
      <c r="A10" s="11" t="s">
        <v>23</v>
      </c>
      <c r="B10" s="11" t="s">
        <v>37</v>
      </c>
      <c r="C10" s="12" t="s">
        <v>38</v>
      </c>
      <c r="D10" s="11"/>
    </row>
    <row r="11" spans="1:4">
      <c r="A11" s="11" t="s">
        <v>23</v>
      </c>
      <c r="B11" s="11" t="s">
        <v>39</v>
      </c>
      <c r="C11" s="12" t="s">
        <v>40</v>
      </c>
      <c r="D11" s="11"/>
    </row>
    <row r="12" spans="1:4" ht="27.6">
      <c r="A12" s="11" t="s">
        <v>27</v>
      </c>
      <c r="B12" s="11" t="s">
        <v>41</v>
      </c>
      <c r="C12" s="12" t="s">
        <v>42</v>
      </c>
      <c r="D12" s="11"/>
    </row>
    <row r="13" spans="1:4">
      <c r="A13" s="11" t="s">
        <v>27</v>
      </c>
      <c r="B13" s="11" t="s">
        <v>43</v>
      </c>
      <c r="C13" s="12" t="s">
        <v>44</v>
      </c>
      <c r="D13" s="11"/>
    </row>
    <row r="14" spans="1:4">
      <c r="A14" s="11" t="s">
        <v>27</v>
      </c>
      <c r="B14" s="11" t="s">
        <v>45</v>
      </c>
      <c r="C14" s="12" t="s">
        <v>46</v>
      </c>
      <c r="D14" s="11"/>
    </row>
    <row r="15" spans="1:4">
      <c r="A15" s="11" t="s">
        <v>27</v>
      </c>
      <c r="B15" s="11" t="s">
        <v>47</v>
      </c>
      <c r="C15" s="12" t="s">
        <v>48</v>
      </c>
      <c r="D15" s="11"/>
    </row>
    <row r="16" spans="1:4">
      <c r="A16" s="11" t="s">
        <v>27</v>
      </c>
      <c r="B16" s="11" t="s">
        <v>49</v>
      </c>
      <c r="C16" s="12" t="s">
        <v>50</v>
      </c>
      <c r="D16" s="11"/>
    </row>
    <row r="17" spans="1:4">
      <c r="A17" s="11" t="s">
        <v>27</v>
      </c>
      <c r="B17" s="11" t="s">
        <v>51</v>
      </c>
      <c r="C17" s="12" t="s">
        <v>52</v>
      </c>
      <c r="D17" s="11"/>
    </row>
    <row r="18" spans="1:4">
      <c r="A18" s="11" t="s">
        <v>27</v>
      </c>
      <c r="B18" s="11" t="s">
        <v>53</v>
      </c>
      <c r="C18" s="12" t="s">
        <v>54</v>
      </c>
      <c r="D18" s="11"/>
    </row>
    <row r="19" spans="1:4">
      <c r="A19" s="11" t="s">
        <v>27</v>
      </c>
      <c r="B19" s="11" t="s">
        <v>55</v>
      </c>
      <c r="C19" s="12" t="s">
        <v>56</v>
      </c>
      <c r="D19" s="11"/>
    </row>
    <row r="20" spans="1:4">
      <c r="A20" s="11" t="s">
        <v>27</v>
      </c>
      <c r="B20" s="11" t="s">
        <v>57</v>
      </c>
      <c r="C20" s="12" t="s">
        <v>58</v>
      </c>
      <c r="D20" s="11"/>
    </row>
    <row r="21" spans="1:4">
      <c r="A21" s="11" t="s">
        <v>27</v>
      </c>
      <c r="B21" s="11" t="s">
        <v>59</v>
      </c>
      <c r="C21" s="12" t="s">
        <v>60</v>
      </c>
      <c r="D21" s="11"/>
    </row>
    <row r="22" spans="1:4">
      <c r="A22" s="11" t="s">
        <v>27</v>
      </c>
      <c r="B22" s="11" t="s">
        <v>61</v>
      </c>
      <c r="C22" s="12" t="s">
        <v>62</v>
      </c>
      <c r="D22" s="11"/>
    </row>
    <row r="23" spans="1:4" ht="27.6">
      <c r="A23" s="11" t="s">
        <v>27</v>
      </c>
      <c r="B23" s="11" t="s">
        <v>63</v>
      </c>
      <c r="C23" s="12" t="s">
        <v>64</v>
      </c>
      <c r="D23" s="11"/>
    </row>
    <row r="24" spans="1:4">
      <c r="A24" s="11" t="s">
        <v>65</v>
      </c>
      <c r="B24" s="11" t="s">
        <v>66</v>
      </c>
      <c r="C24" s="12" t="s">
        <v>67</v>
      </c>
      <c r="D24" s="11"/>
    </row>
    <row r="25" spans="1:4">
      <c r="A25" s="11" t="s">
        <v>65</v>
      </c>
      <c r="B25" s="11" t="s">
        <v>68</v>
      </c>
      <c r="C25" s="12" t="s">
        <v>69</v>
      </c>
      <c r="D25" s="11"/>
    </row>
    <row r="26" spans="1:4">
      <c r="A26" s="11" t="s">
        <v>70</v>
      </c>
      <c r="B26" s="11" t="s">
        <v>71</v>
      </c>
      <c r="C26" s="12" t="s">
        <v>72</v>
      </c>
      <c r="D26" s="11"/>
    </row>
    <row r="27" spans="1:4">
      <c r="A27" s="11" t="s">
        <v>70</v>
      </c>
      <c r="B27" s="11" t="s">
        <v>73</v>
      </c>
      <c r="C27" s="12" t="s">
        <v>69</v>
      </c>
      <c r="D27" s="11"/>
    </row>
    <row r="28" spans="1:4">
      <c r="A28" s="11" t="s">
        <v>74</v>
      </c>
      <c r="B28" s="11" t="s">
        <v>75</v>
      </c>
      <c r="C28" s="12" t="s">
        <v>76</v>
      </c>
      <c r="D28" s="11"/>
    </row>
    <row r="29" spans="1:4">
      <c r="A29" s="11" t="s">
        <v>77</v>
      </c>
      <c r="B29" s="11" t="s">
        <v>78</v>
      </c>
      <c r="C29" s="12" t="s">
        <v>79</v>
      </c>
      <c r="D29" s="11"/>
    </row>
    <row r="30" spans="1:4">
      <c r="A30" s="11" t="s">
        <v>77</v>
      </c>
      <c r="B30" s="11" t="s">
        <v>80</v>
      </c>
      <c r="C30" s="12" t="s">
        <v>72</v>
      </c>
      <c r="D30" s="11"/>
    </row>
    <row r="31" spans="1:4">
      <c r="A31" s="11" t="s">
        <v>81</v>
      </c>
      <c r="B31" s="11" t="s">
        <v>82</v>
      </c>
      <c r="C31" s="12" t="s">
        <v>69</v>
      </c>
      <c r="D31" s="11"/>
    </row>
    <row r="32" spans="1:4">
      <c r="A32" s="11" t="s">
        <v>83</v>
      </c>
      <c r="B32" s="11" t="s">
        <v>84</v>
      </c>
      <c r="C32" s="12" t="s">
        <v>79</v>
      </c>
      <c r="D32" s="11"/>
    </row>
  </sheetData>
  <sheetProtection algorithmName="SHA-512" hashValue="b/05IgSSH+CBDq/IKnhy2MuH8oZmwmBPjpKnbGCxvo0AjKaLh5+xN8sn8FPBqp6G/6u5/z5fKYbFOnsvVPJbPA==" saltValue="pNN8e4QRH94HDDhTbbzySg==" spinCount="100000" sheet="1" objects="1" scenarios="1"/>
  <mergeCells count="2">
    <mergeCell ref="A2:D2"/>
    <mergeCell ref="A8:D8"/>
  </mergeCells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拆價與財交稅試算</vt:lpstr>
      <vt:lpstr>113年度稅率參照表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znom</cp:lastModifiedBy>
  <dcterms:created xsi:type="dcterms:W3CDTF">2025-11-22T04:36:35Z</dcterms:created>
  <dcterms:modified xsi:type="dcterms:W3CDTF">2025-11-22T07:06:10Z</dcterms:modified>
</cp:coreProperties>
</file>