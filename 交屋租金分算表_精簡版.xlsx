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屋分算(費用明細)" sheetId="1" state="visible" r:id="rId1"/>
  </sheets>
  <definedNames>
    <definedName name="_xlnm.Print_Titles" localSheetId="0">'交屋分算(費用明細)'!$7:$7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軟正黑體"/>
      <b val="1"/>
      <color rgb="001E293B"/>
      <sz val="18"/>
    </font>
    <font>
      <name val="微軟正黑體"/>
      <b val="1"/>
      <color rgb="00FFFFFF"/>
      <sz val="11"/>
    </font>
    <font>
      <name val="微軟正黑體"/>
      <b val="1"/>
      <color rgb="000F172A"/>
      <sz val="11"/>
    </font>
    <font>
      <name val="微軟正黑體"/>
      <b val="1"/>
      <color rgb="00E11D48"/>
      <sz val="10"/>
    </font>
    <font>
      <name val="微軟正黑體"/>
      <color rgb="0064748B"/>
      <sz val="9"/>
    </font>
    <font>
      <name val="微軟正黑體"/>
      <color rgb="00334155"/>
      <sz val="11"/>
    </font>
    <font>
      <name val="微軟正黑體"/>
      <b val="1"/>
      <color rgb="00881337"/>
      <sz val="10"/>
    </font>
    <font>
      <name val="微軟正黑體"/>
      <b val="1"/>
      <color rgb="00064E3B"/>
      <sz val="10"/>
    </font>
    <font>
      <name val="微軟正黑體"/>
      <b val="1"/>
      <color rgb="009A3412"/>
      <sz val="14"/>
    </font>
    <font>
      <name val="微軟正黑體"/>
      <b val="1"/>
      <color rgb="001E293B"/>
      <sz val="11"/>
    </font>
  </fonts>
  <fills count="12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64748B"/>
      </patternFill>
    </fill>
    <fill>
      <patternFill patternType="solid">
        <fgColor rgb="00059669"/>
      </patternFill>
    </fill>
    <fill>
      <patternFill patternType="solid">
        <fgColor rgb="00FFF1F2"/>
      </patternFill>
    </fill>
    <fill>
      <patternFill patternType="solid">
        <fgColor rgb="00ECFDF5"/>
      </patternFill>
    </fill>
    <fill>
      <patternFill patternType="solid">
        <fgColor rgb="00E11D48"/>
      </patternFill>
    </fill>
    <fill>
      <patternFill patternType="solid">
        <fgColor rgb="00FFEDD5"/>
      </patternFill>
    </fill>
    <fill>
      <patternFill patternType="solid">
        <fgColor rgb="00F8FAFC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 style="medium">
        <color rgb="00334155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 wrapText="1"/>
    </xf>
    <xf numFmtId="0" fontId="3" fillId="3" borderId="1" applyAlignment="1" applyProtection="1" pivotButton="0" quotePrefix="0" xfId="0">
      <alignment horizontal="left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2" fillId="2" borderId="1" applyAlignment="1" pivotButton="0" quotePrefix="0" xfId="0">
      <alignment horizontal="center" vertical="center" wrapText="1"/>
    </xf>
    <xf numFmtId="1" fontId="3" fillId="3" borderId="1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3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1" fontId="6" fillId="3" borderId="1" applyAlignment="1" applyProtection="1" pivotButton="0" quotePrefix="0" xfId="0">
      <alignment horizontal="center" vertical="center" wrapText="1"/>
      <protection locked="0" hidden="0"/>
    </xf>
    <xf numFmtId="3" fontId="6" fillId="3" borderId="1" applyAlignment="1" applyProtection="1" pivotButton="0" quotePrefix="0" xfId="0">
      <alignment horizontal="center" vertical="center" wrapText="1"/>
      <protection locked="0" hidden="0"/>
    </xf>
    <xf numFmtId="1" fontId="6" fillId="3" borderId="6" applyAlignment="1" applyProtection="1" pivotButton="0" quotePrefix="0" xfId="0">
      <alignment horizontal="center" vertical="center" wrapText="1"/>
      <protection locked="0" hidden="0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3" fontId="8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3" fontId="7" fillId="0" borderId="1" applyAlignment="1" pivotButton="0" quotePrefix="0" xfId="0">
      <alignment horizontal="right" vertical="center" wrapText="1"/>
    </xf>
    <xf numFmtId="3" fontId="8" fillId="0" borderId="1" applyAlignment="1" pivotButton="0" quotePrefix="0" xfId="0">
      <alignment horizontal="right" vertical="center" wrapText="1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3" fontId="8" fillId="3" borderId="1" applyAlignment="1" applyProtection="1" pivotButton="0" quotePrefix="0" xfId="0">
      <alignment horizontal="right" vertical="center" wrapText="1"/>
      <protection locked="0" hidden="0"/>
    </xf>
    <xf numFmtId="0" fontId="6" fillId="3" borderId="0" applyAlignment="1" applyProtection="1" pivotButton="0" quotePrefix="0" xfId="0">
      <alignment horizontal="left" vertical="center" wrapText="1"/>
      <protection locked="0" hidden="0"/>
    </xf>
    <xf numFmtId="3" fontId="7" fillId="3" borderId="1" applyAlignment="1" applyProtection="1" pivotButton="0" quotePrefix="0" xfId="0">
      <alignment horizontal="right" vertical="center" wrapText="1"/>
      <protection locked="0" hidden="0"/>
    </xf>
    <xf numFmtId="0" fontId="6" fillId="0" borderId="0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6" fillId="0" borderId="1" applyAlignment="1" applyProtection="1" pivotButton="0" quotePrefix="0" xfId="0">
      <alignment horizontal="left" vertical="top" wrapText="1"/>
      <protection locked="0" hidden="0"/>
    </xf>
    <xf numFmtId="0" fontId="0" fillId="0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3" customWidth="1" min="5" max="5"/>
    <col width="12" customWidth="1" min="6" max="6"/>
    <col width="30" customWidth="1" min="7" max="7"/>
    <col width="13" customWidth="1" min="8" max="8"/>
    <col width="30" customWidth="1" min="9" max="9"/>
    <col width="13" customWidth="1" min="10" max="10"/>
  </cols>
  <sheetData>
    <row r="1" ht="35" customHeight="1">
      <c r="A1" s="1" t="inlineStr">
        <is>
          <t>交屋租金分算表</t>
        </is>
      </c>
    </row>
    <row r="2" ht="25" customHeight="1">
      <c r="A2" s="2" t="inlineStr">
        <is>
          <t>買方:</t>
        </is>
      </c>
      <c r="B2" s="3" t="inlineStr">
        <is>
          <t>陳小明</t>
        </is>
      </c>
      <c r="C2" s="4" t="n"/>
      <c r="D2" s="4" t="n"/>
      <c r="E2" s="5" t="n"/>
      <c r="F2" s="2" t="inlineStr">
        <is>
          <t>賣方:</t>
        </is>
      </c>
      <c r="G2" s="3" t="inlineStr">
        <is>
          <t>林大華</t>
        </is>
      </c>
      <c r="H2" s="4" t="n"/>
      <c r="I2" s="4" t="n"/>
      <c r="J2" s="5" t="n"/>
    </row>
    <row r="3" ht="25" customHeight="1">
      <c r="A3" s="2" t="inlineStr">
        <is>
          <t>房屋地址:</t>
        </is>
      </c>
      <c r="B3" s="3" t="inlineStr">
        <is>
          <t>台北市信義區信義路五段7號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 ht="25" customHeight="1">
      <c r="A4" s="6" t="inlineStr">
        <is>
          <t>交屋日期 (7碼)</t>
        </is>
      </c>
      <c r="B4" s="7" t="n">
        <v>1141127</v>
      </c>
      <c r="C4" s="8">
        <f>IF(B4="","", TEXT(DATE(1911+LEFT(B4,3),MID(B4,4,2),RIGHT(B4,2)),"yyyy/mm/dd"))</f>
        <v/>
      </c>
      <c r="D4" s="9" t="inlineStr">
        <is>
          <t>(買賣雙方合意如租金有誤時，雙方另行找補)</t>
        </is>
      </c>
    </row>
    <row r="5" ht="25" customHeight="1">
      <c r="A5" s="6" t="inlineStr">
        <is>
          <t>交屋日算誰的</t>
        </is>
      </c>
      <c r="B5" s="10" t="inlineStr">
        <is>
          <t>歸買方</t>
        </is>
      </c>
      <c r="C5" s="11">
        <f>"⚖️ 權益切割：交屋日當天歸 " &amp; RIGHT(B5,2)</f>
        <v/>
      </c>
    </row>
    <row r="6" ht="25" customHeight="1">
      <c r="A6" s="6" t="inlineStr">
        <is>
          <t>計算基準</t>
        </is>
      </c>
      <c r="B6" s="12" t="inlineStr">
        <is>
          <t>當月實際天數</t>
        </is>
      </c>
      <c r="C6" s="11">
        <f>IF(B4="","", "📊 分母：依交屋當月總天數 (" &amp; DAY(EOMONTH(DATE(1911+LEFT(B4,3),MID(B4,4,2),RIGHT(B4,2)),0)) &amp; "天) 計算日租金")</f>
        <v/>
      </c>
    </row>
    <row r="7" ht="40" customHeight="1">
      <c r="A7" s="13" t="inlineStr">
        <is>
          <t>房號/租客</t>
        </is>
      </c>
      <c r="B7" s="13" t="inlineStr">
        <is>
          <t>租期起</t>
        </is>
      </c>
      <c r="C7" s="13" t="inlineStr">
        <is>
          <t>租期訖</t>
        </is>
      </c>
      <c r="D7" s="13" t="inlineStr">
        <is>
          <t>月租金</t>
        </is>
      </c>
      <c r="E7" s="13" t="inlineStr">
        <is>
          <t>押金</t>
        </is>
      </c>
      <c r="F7" s="14" t="inlineStr">
        <is>
          <t>租客已繳至</t>
        </is>
      </c>
      <c r="G7" s="15" t="inlineStr">
        <is>
          <t>賣方補貼買方
(計算詳情)</t>
        </is>
      </c>
      <c r="H7" s="13" t="inlineStr">
        <is>
          <t>補貼金額</t>
        </is>
      </c>
      <c r="I7" s="15" t="inlineStr">
        <is>
          <t>買方補貼賣方
(計算詳情)</t>
        </is>
      </c>
      <c r="J7" s="13" t="inlineStr">
        <is>
          <t>補貼金額</t>
        </is>
      </c>
    </row>
    <row r="8" ht="35" customHeight="1">
      <c r="A8" s="16" t="inlineStr">
        <is>
          <t>301 (範例)</t>
        </is>
      </c>
      <c r="B8" s="17" t="n">
        <v>1141122</v>
      </c>
      <c r="C8" s="17" t="n">
        <v>1141221</v>
      </c>
      <c r="D8" s="18" t="n">
        <v>15000</v>
      </c>
      <c r="E8" s="18" t="n">
        <v>30000</v>
      </c>
      <c r="F8" s="19" t="n">
        <v>1141221</v>
      </c>
      <c r="G8" s="20">
        <f>IF(AND(D8&lt;&gt;"", F8&lt;&gt;""), IF(MAX(0, DATE(1911+LEFT(IF(F8="", IF($B$4="", 1140101, $B$4), F8),3),MID(IF(F8="", IF($B$4="", 1140101, $B$4), F8),4,2),RIGHT(IF(F8="", IF($B$4="", 1140101, $B$4), F8),2))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TEXT(DATE(1911+LEFT(IF(F8="", IF($B$4="", 1140101, $B$4), F8),3),MID(IF(F8="", IF($B$4="", 1140101, $B$4), F8),4,2),RIGHT(IF(F8="", IF($B$4="", 1140101, $B$4), F8),2)), "mm/dd") &amp; " (" &amp; MAX(0, DATE(1911+LEFT(IF(F8="", IF($B$4="", 1140101, $B$4), F8),3),MID(IF(F8="", IF($B$4="", 1140101, $B$4), F8),4,2),RIGHT(IF(F8="", IF($B$4="", 1140101, $B$4), F8),2))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"天)" &amp; CHAR(10) &amp; "$" &amp; TEXT(D8, "#,##0") &amp; "×(" &amp; MAX(0, DATE(1911+LEFT(IF(F8="", IF($B$4="", 1140101, $B$4), F8),3),MID(IF(F8="", IF($B$4="", 1140101, $B$4), F8),4,2),RIGHT(IF(F8="", IF($B$4="", 1140101, $B$4), F8),2))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"/" &amp; DAY(EOMONTH(DATE(1911+LEFT(IF($B$4="", 1140101, $B$4),3),MID(IF($B$4="", 1140101, $B$4),4,2),RIGHT(IF($B$4="", 1140101, $B$4),2)),0)) &amp; ")", ""), "")</f>
        <v/>
      </c>
      <c r="H8" s="21">
        <f>IF(AND(D8&lt;&gt;"", F8&lt;&gt;""), IF(MAX(0, DATE(1911+LEFT(IF(F8="", IF($B$4="", 1140101, $B$4), F8),3),MID(IF(F8="", IF($B$4="", 1140101, $B$4), F8),4,2),RIGHT(IF(F8="", IF($B$4="", 1140101, $B$4), F8),2))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ROUND(D8/DAY(EOMONTH(DATE(1911+LEFT(IF($B$4="", 1140101, $B$4),3),MID(IF($B$4="", 1140101, $B$4),4,2),RIGHT(IF($B$4="", 1140101, $B$4),2)),0))*MAX(0, DATE(1911+LEFT(IF(F8="", IF($B$4="", 1140101, $B$4), F8),3),MID(IF(F8="", IF($B$4="", 1140101, $B$4), F8),4,2),RIGHT(IF(F8="", IF($B$4="", 1140101, $B$4), F8),2)) - IF($B$5="歸買方", DATE(1911+LEFT(IF($B$4="", 1140101, $B$4),3),MID(IF($B$4="", 1140101, $B$4),4,2),RIGHT(IF($B$4="", 1140101, $B$4),2)), DATE(1911+LEFT(IF($B$4="", 1140101, $B$4),3),MID(IF($B$4="", 1140101, $B$4),4,2),RIGHT(IF($B$4="", 1140101, $B$4),2))+1) + 1), 0), 0), "")</f>
        <v/>
      </c>
      <c r="I8" s="22">
        <f>IF(AND(D8&lt;&gt;"", F8&lt;&gt;""),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DATE(1911+LEFT(IF(F8="", IF($B$4="", 1140101, $B$4), F8),3),MID(IF(F8="", IF($B$4="", 1140101, $B$4), F8),4,2),RIGHT(IF(F8="", IF($B$4="", 1140101, $B$4), F8),2))) - DATE(YEAR(DATE(1911+LEFT(IF($B$4="", 1140101, $B$4),3),MID(IF($B$4="", 1140101, $B$4),4,2),RIGHT(IF($B$4="", 1140101, $B$4),2))),MONTH(DATE(1911+LEFT(IF($B$4="", 1140101, $B$4),3),MID(IF($B$4="", 1140101, $B$4),4,2),RIGHT(IF($B$4="", 1140101, $B$4),2))),1) + 1)&gt;0, TEXT(MAX(DATE(YEAR(DATE(1911+LEFT(IF($B$4="", 1140101, $B$4),3),MID(IF($B$4="", 1140101, $B$4),4,2),RIGHT(IF($B$4="", 1140101, $B$4),2))),MONTH(DATE(1911+LEFT(IF($B$4="", 1140101, $B$4),3),MID(IF($B$4="", 1140101, $B$4),4,2),RIGHT(IF($B$4="", 1140101, $B$4),2))),1), DATE(1911+LEFT(IF(F8="", IF($B$4="", 1140101, $B$4), F8),3),MID(IF(F8="", IF($B$4="", 1140101, $B$4), F8),4,2),RIGHT(IF(F8="", IF($B$4="", 1140101, $B$4), F8),2))+1), "mm/dd") &amp; "~" &amp; TEXT(IF($B$5="歸買方", DATE(1911+LEFT(IF($B$4="", 1140101, $B$4),3),MID(IF($B$4="", 1140101, $B$4),4,2),RIGHT(IF($B$4="", 1140101, $B$4),2)), DATE(1911+LEFT(IF($B$4="", 1140101, $B$4),3),MID(IF($B$4="", 1140101, $B$4),4,2),RIGHT(IF($B$4="", 1140101, $B$4),2))+1)-1, "mm/dd") &amp; " 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DATE(1911+LEFT(IF(F8="", IF($B$4="", 1140101, $B$4), F8),3),MID(IF(F8="", IF($B$4="", 1140101, $B$4), F8),4,2),RIGHT(IF(F8="", IF($B$4="", 1140101, $B$4), F8),2))) - DATE(YEAR(DATE(1911+LEFT(IF($B$4="", 1140101, $B$4),3),MID(IF($B$4="", 1140101, $B$4),4,2),RIGHT(IF($B$4="", 1140101, $B$4),2))),MONTH(DATE(1911+LEFT(IF($B$4="", 1140101, $B$4),3),MID(IF($B$4="", 1140101, $B$4),4,2),RIGHT(IF($B$4="", 1140101, $B$4),2))),1) + 1) &amp; "天)" &amp; CHAR(10) &amp; "$" &amp; TEXT(D8, "#,##0") &amp; "×("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DATE(1911+LEFT(IF(F8="", IF($B$4="", 1140101, $B$4), F8),3),MID(IF(F8="", IF($B$4="", 1140101, $B$4), F8),4,2),RIGHT(IF(F8="", IF($B$4="", 1140101, $B$4), F8),2))) - DATE(YEAR(DATE(1911+LEFT(IF($B$4="", 1140101, $B$4),3),MID(IF($B$4="", 1140101, $B$4),4,2),RIGHT(IF($B$4="", 1140101, $B$4),2))),MONTH(DATE(1911+LEFT(IF($B$4="", 1140101, $B$4),3),MID(IF($B$4="", 1140101, $B$4),4,2),RIGHT(IF($B$4="", 1140101, $B$4),2))),1) + 1) &amp; "/" &amp; DAY(EOMONTH(DATE(1911+LEFT(IF($B$4="", 1140101, $B$4),3),MID(IF($B$4="", 1140101, $B$4),4,2),RIGHT(IF($B$4="", 1140101, $B$4),2)),0)) &amp; ")", ""), "")</f>
        <v/>
      </c>
      <c r="J8" s="23">
        <f>IF(AND(D8&lt;&gt;"", F8&lt;&gt;""),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DATE(1911+LEFT(IF(F8="", IF($B$4="", 1140101, $B$4), F8),3),MID(IF(F8="", IF($B$4="", 1140101, $B$4), F8),4,2),RIGHT(IF(F8="", IF($B$4="", 1140101, $B$4), F8),2))) - DATE(YEAR(DATE(1911+LEFT(IF($B$4="", 1140101, $B$4),3),MID(IF($B$4="", 1140101, $B$4),4,2),RIGHT(IF($B$4="", 1140101, $B$4),2))),MONTH(DATE(1911+LEFT(IF($B$4="", 1140101, $B$4),3),MID(IF($B$4="", 1140101, $B$4),4,2),RIGHT(IF($B$4="", 1140101, $B$4),2))),1) + 1)&gt;0, ROUND(D8/DAY(EOMONTH(DATE(1911+LEFT(IF($B$4="", 1140101, $B$4),3),MID(IF($B$4="", 1140101, $B$4),4,2),RIGHT(IF($B$4="", 1140101, $B$4),2)),0))*MAX(0,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DATE(1911+LEFT(IF(F8="", IF($B$4="", 1140101, $B$4), F8),3),MID(IF(F8="", IF($B$4="", 1140101, $B$4), F8),4,2),RIGHT(IF(F8="", IF($B$4="", 1140101, $B$4), F8),2))) - DATE(YEAR(DATE(1911+LEFT(IF($B$4="", 1140101, $B$4),3),MID(IF($B$4="", 1140101, $B$4),4,2),RIGHT(IF($B$4="", 1140101, $B$4),2))),MONTH(DATE(1911+LEFT(IF($B$4="", 1140101, $B$4),3),MID(IF($B$4="", 1140101, $B$4),4,2),RIGHT(IF($B$4="", 1140101, $B$4),2))),1) + 1), 0), 0), "")</f>
        <v/>
      </c>
    </row>
    <row r="9" ht="35" customHeight="1">
      <c r="A9" s="16" t="inlineStr"/>
      <c r="B9" s="17" t="inlineStr"/>
      <c r="C9" s="17" t="inlineStr"/>
      <c r="D9" s="18" t="inlineStr"/>
      <c r="E9" s="18" t="inlineStr"/>
      <c r="F9" s="19" t="inlineStr"/>
      <c r="G9" s="20">
        <f>IF(AND(D9&lt;&gt;"", F9&lt;&gt;""), IF(MAX(0, DATE(1911+LEFT(IF(F9="", IF($B$4="", 1140101, $B$4), F9),3),MID(IF(F9="", IF($B$4="", 1140101, $B$4), F9),4,2),RIGHT(IF(F9="", IF($B$4="", 1140101, $B$4), F9),2))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TEXT(DATE(1911+LEFT(IF(F9="", IF($B$4="", 1140101, $B$4), F9),3),MID(IF(F9="", IF($B$4="", 1140101, $B$4), F9),4,2),RIGHT(IF(F9="", IF($B$4="", 1140101, $B$4), F9),2)), "mm/dd") &amp; " (" &amp; MAX(0, DATE(1911+LEFT(IF(F9="", IF($B$4="", 1140101, $B$4), F9),3),MID(IF(F9="", IF($B$4="", 1140101, $B$4), F9),4,2),RIGHT(IF(F9="", IF($B$4="", 1140101, $B$4), F9),2))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"天)" &amp; CHAR(10) &amp; "$" &amp; TEXT(D9, "#,##0") &amp; "×(" &amp; MAX(0, DATE(1911+LEFT(IF(F9="", IF($B$4="", 1140101, $B$4), F9),3),MID(IF(F9="", IF($B$4="", 1140101, $B$4), F9),4,2),RIGHT(IF(F9="", IF($B$4="", 1140101, $B$4), F9),2))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"/" &amp; DAY(EOMONTH(DATE(1911+LEFT(IF($B$4="", 1140101, $B$4),3),MID(IF($B$4="", 1140101, $B$4),4,2),RIGHT(IF($B$4="", 1140101, $B$4),2)),0)) &amp; ")", ""), "")</f>
        <v/>
      </c>
      <c r="H9" s="21">
        <f>IF(AND(D9&lt;&gt;"", F9&lt;&gt;""), IF(MAX(0, DATE(1911+LEFT(IF(F9="", IF($B$4="", 1140101, $B$4), F9),3),MID(IF(F9="", IF($B$4="", 1140101, $B$4), F9),4,2),RIGHT(IF(F9="", IF($B$4="", 1140101, $B$4), F9),2))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ROUND(D9/DAY(EOMONTH(DATE(1911+LEFT(IF($B$4="", 1140101, $B$4),3),MID(IF($B$4="", 1140101, $B$4),4,2),RIGHT(IF($B$4="", 1140101, $B$4),2)),0))*MAX(0, DATE(1911+LEFT(IF(F9="", IF($B$4="", 1140101, $B$4), F9),3),MID(IF(F9="", IF($B$4="", 1140101, $B$4), F9),4,2),RIGHT(IF(F9="", IF($B$4="", 1140101, $B$4), F9),2)) - IF($B$5="歸買方", DATE(1911+LEFT(IF($B$4="", 1140101, $B$4),3),MID(IF($B$4="", 1140101, $B$4),4,2),RIGHT(IF($B$4="", 1140101, $B$4),2)), DATE(1911+LEFT(IF($B$4="", 1140101, $B$4),3),MID(IF($B$4="", 1140101, $B$4),4,2),RIGHT(IF($B$4="", 1140101, $B$4),2))+1) + 1), 0), 0), "")</f>
        <v/>
      </c>
      <c r="I9" s="22">
        <f>IF(AND(D9&lt;&gt;"", F9&lt;&gt;""),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DATE(1911+LEFT(IF(F9="", IF($B$4="", 1140101, $B$4), F9),3),MID(IF(F9="", IF($B$4="", 1140101, $B$4), F9),4,2),RIGHT(IF(F9="", IF($B$4="", 1140101, $B$4), F9),2))) - DATE(YEAR(DATE(1911+LEFT(IF($B$4="", 1140101, $B$4),3),MID(IF($B$4="", 1140101, $B$4),4,2),RIGHT(IF($B$4="", 1140101, $B$4),2))),MONTH(DATE(1911+LEFT(IF($B$4="", 1140101, $B$4),3),MID(IF($B$4="", 1140101, $B$4),4,2),RIGHT(IF($B$4="", 1140101, $B$4),2))),1) + 1)&gt;0, TEXT(MAX(DATE(YEAR(DATE(1911+LEFT(IF($B$4="", 1140101, $B$4),3),MID(IF($B$4="", 1140101, $B$4),4,2),RIGHT(IF($B$4="", 1140101, $B$4),2))),MONTH(DATE(1911+LEFT(IF($B$4="", 1140101, $B$4),3),MID(IF($B$4="", 1140101, $B$4),4,2),RIGHT(IF($B$4="", 1140101, $B$4),2))),1), DATE(1911+LEFT(IF(F9="", IF($B$4="", 1140101, $B$4), F9),3),MID(IF(F9="", IF($B$4="", 1140101, $B$4), F9),4,2),RIGHT(IF(F9="", IF($B$4="", 1140101, $B$4), F9),2))+1), "mm/dd") &amp; "~" &amp; TEXT(IF($B$5="歸買方", DATE(1911+LEFT(IF($B$4="", 1140101, $B$4),3),MID(IF($B$4="", 1140101, $B$4),4,2),RIGHT(IF($B$4="", 1140101, $B$4),2)), DATE(1911+LEFT(IF($B$4="", 1140101, $B$4),3),MID(IF($B$4="", 1140101, $B$4),4,2),RIGHT(IF($B$4="", 1140101, $B$4),2))+1)-1, "mm/dd") &amp; " 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DATE(1911+LEFT(IF(F9="", IF($B$4="", 1140101, $B$4), F9),3),MID(IF(F9="", IF($B$4="", 1140101, $B$4), F9),4,2),RIGHT(IF(F9="", IF($B$4="", 1140101, $B$4), F9),2))) - DATE(YEAR(DATE(1911+LEFT(IF($B$4="", 1140101, $B$4),3),MID(IF($B$4="", 1140101, $B$4),4,2),RIGHT(IF($B$4="", 1140101, $B$4),2))),MONTH(DATE(1911+LEFT(IF($B$4="", 1140101, $B$4),3),MID(IF($B$4="", 1140101, $B$4),4,2),RIGHT(IF($B$4="", 1140101, $B$4),2))),1) + 1) &amp; "天)" &amp; CHAR(10) &amp; "$" &amp; TEXT(D9, "#,##0") &amp; "×("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DATE(1911+LEFT(IF(F9="", IF($B$4="", 1140101, $B$4), F9),3),MID(IF(F9="", IF($B$4="", 1140101, $B$4), F9),4,2),RIGHT(IF(F9="", IF($B$4="", 1140101, $B$4), F9),2))) - DATE(YEAR(DATE(1911+LEFT(IF($B$4="", 1140101, $B$4),3),MID(IF($B$4="", 1140101, $B$4),4,2),RIGHT(IF($B$4="", 1140101, $B$4),2))),MONTH(DATE(1911+LEFT(IF($B$4="", 1140101, $B$4),3),MID(IF($B$4="", 1140101, $B$4),4,2),RIGHT(IF($B$4="", 1140101, $B$4),2))),1) + 1) &amp; "/" &amp; DAY(EOMONTH(DATE(1911+LEFT(IF($B$4="", 1140101, $B$4),3),MID(IF($B$4="", 1140101, $B$4),4,2),RIGHT(IF($B$4="", 1140101, $B$4),2)),0)) &amp; ")", ""), "")</f>
        <v/>
      </c>
      <c r="J9" s="23">
        <f>IF(AND(D9&lt;&gt;"", F9&lt;&gt;""),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DATE(1911+LEFT(IF(F9="", IF($B$4="", 1140101, $B$4), F9),3),MID(IF(F9="", IF($B$4="", 1140101, $B$4), F9),4,2),RIGHT(IF(F9="", IF($B$4="", 1140101, $B$4), F9),2))) - DATE(YEAR(DATE(1911+LEFT(IF($B$4="", 1140101, $B$4),3),MID(IF($B$4="", 1140101, $B$4),4,2),RIGHT(IF($B$4="", 1140101, $B$4),2))),MONTH(DATE(1911+LEFT(IF($B$4="", 1140101, $B$4),3),MID(IF($B$4="", 1140101, $B$4),4,2),RIGHT(IF($B$4="", 1140101, $B$4),2))),1) + 1)&gt;0, ROUND(D9/DAY(EOMONTH(DATE(1911+LEFT(IF($B$4="", 1140101, $B$4),3),MID(IF($B$4="", 1140101, $B$4),4,2),RIGHT(IF($B$4="", 1140101, $B$4),2)),0))*MAX(0,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DATE(1911+LEFT(IF(F9="", IF($B$4="", 1140101, $B$4), F9),3),MID(IF(F9="", IF($B$4="", 1140101, $B$4), F9),4,2),RIGHT(IF(F9="", IF($B$4="", 1140101, $B$4), F9),2))) - DATE(YEAR(DATE(1911+LEFT(IF($B$4="", 1140101, $B$4),3),MID(IF($B$4="", 1140101, $B$4),4,2),RIGHT(IF($B$4="", 1140101, $B$4),2))),MONTH(DATE(1911+LEFT(IF($B$4="", 1140101, $B$4),3),MID(IF($B$4="", 1140101, $B$4),4,2),RIGHT(IF($B$4="", 1140101, $B$4),2))),1) + 1), 0), 0), "")</f>
        <v/>
      </c>
    </row>
    <row r="10" ht="35" customHeight="1">
      <c r="A10" s="16" t="inlineStr"/>
      <c r="B10" s="17" t="inlineStr"/>
      <c r="C10" s="17" t="inlineStr"/>
      <c r="D10" s="18" t="inlineStr"/>
      <c r="E10" s="18" t="inlineStr"/>
      <c r="F10" s="19" t="inlineStr"/>
      <c r="G10" s="20">
        <f>IF(AND(D10&lt;&gt;"", F10&lt;&gt;""), IF(MAX(0, DATE(1911+LEFT(IF(F10="", IF($B$4="", 1140101, $B$4), F10),3),MID(IF(F10="", IF($B$4="", 1140101, $B$4), F10),4,2),RIGHT(IF(F10="", IF($B$4="", 1140101, $B$4), F10),2))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TEXT(DATE(1911+LEFT(IF(F10="", IF($B$4="", 1140101, $B$4), F10),3),MID(IF(F10="", IF($B$4="", 1140101, $B$4), F10),4,2),RIGHT(IF(F10="", IF($B$4="", 1140101, $B$4), F10),2)), "mm/dd") &amp; " (" &amp; MAX(0, DATE(1911+LEFT(IF(F10="", IF($B$4="", 1140101, $B$4), F10),3),MID(IF(F10="", IF($B$4="", 1140101, $B$4), F10),4,2),RIGHT(IF(F10="", IF($B$4="", 1140101, $B$4), F10),2))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"天)" &amp; CHAR(10) &amp; "$" &amp; TEXT(D10, "#,##0") &amp; "×(" &amp; MAX(0, DATE(1911+LEFT(IF(F10="", IF($B$4="", 1140101, $B$4), F10),3),MID(IF(F10="", IF($B$4="", 1140101, $B$4), F10),4,2),RIGHT(IF(F10="", IF($B$4="", 1140101, $B$4), F10),2))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"/" &amp; DAY(EOMONTH(DATE(1911+LEFT(IF($B$4="", 1140101, $B$4),3),MID(IF($B$4="", 1140101, $B$4),4,2),RIGHT(IF($B$4="", 1140101, $B$4),2)),0)) &amp; ")", ""), "")</f>
        <v/>
      </c>
      <c r="H10" s="21">
        <f>IF(AND(D10&lt;&gt;"", F10&lt;&gt;""), IF(MAX(0, DATE(1911+LEFT(IF(F10="", IF($B$4="", 1140101, $B$4), F10),3),MID(IF(F10="", IF($B$4="", 1140101, $B$4), F10),4,2),RIGHT(IF(F10="", IF($B$4="", 1140101, $B$4), F10),2))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ROUND(D10/DAY(EOMONTH(DATE(1911+LEFT(IF($B$4="", 1140101, $B$4),3),MID(IF($B$4="", 1140101, $B$4),4,2),RIGHT(IF($B$4="", 1140101, $B$4),2)),0))*MAX(0, DATE(1911+LEFT(IF(F10="", IF($B$4="", 1140101, $B$4), F10),3),MID(IF(F10="", IF($B$4="", 1140101, $B$4), F10),4,2),RIGHT(IF(F10="", IF($B$4="", 1140101, $B$4), F10),2)) - IF($B$5="歸買方", DATE(1911+LEFT(IF($B$4="", 1140101, $B$4),3),MID(IF($B$4="", 1140101, $B$4),4,2),RIGHT(IF($B$4="", 1140101, $B$4),2)), DATE(1911+LEFT(IF($B$4="", 1140101, $B$4),3),MID(IF($B$4="", 1140101, $B$4),4,2),RIGHT(IF($B$4="", 1140101, $B$4),2))+1) + 1), 0), 0), "")</f>
        <v/>
      </c>
      <c r="I10" s="22">
        <f>IF(AND(D10&lt;&gt;"", F10&lt;&gt;""),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DATE(1911+LEFT(IF(F10="", IF($B$4="", 1140101, $B$4), F10),3),MID(IF(F10="", IF($B$4="", 1140101, $B$4), F10),4,2),RIGHT(IF(F10="", IF($B$4="", 1140101, $B$4), F10),2))) - DATE(YEAR(DATE(1911+LEFT(IF($B$4="", 1140101, $B$4),3),MID(IF($B$4="", 1140101, $B$4),4,2),RIGHT(IF($B$4="", 1140101, $B$4),2))),MONTH(DATE(1911+LEFT(IF($B$4="", 1140101, $B$4),3),MID(IF($B$4="", 1140101, $B$4),4,2),RIGHT(IF($B$4="", 1140101, $B$4),2))),1) + 1)&gt;0, TEXT(MAX(DATE(YEAR(DATE(1911+LEFT(IF($B$4="", 1140101, $B$4),3),MID(IF($B$4="", 1140101, $B$4),4,2),RIGHT(IF($B$4="", 1140101, $B$4),2))),MONTH(DATE(1911+LEFT(IF($B$4="", 1140101, $B$4),3),MID(IF($B$4="", 1140101, $B$4),4,2),RIGHT(IF($B$4="", 1140101, $B$4),2))),1), DATE(1911+LEFT(IF(F10="", IF($B$4="", 1140101, $B$4), F10),3),MID(IF(F10="", IF($B$4="", 1140101, $B$4), F10),4,2),RIGHT(IF(F10="", IF($B$4="", 1140101, $B$4), F10),2))+1), "mm/dd") &amp; "~" &amp; TEXT(IF($B$5="歸買方", DATE(1911+LEFT(IF($B$4="", 1140101, $B$4),3),MID(IF($B$4="", 1140101, $B$4),4,2),RIGHT(IF($B$4="", 1140101, $B$4),2)), DATE(1911+LEFT(IF($B$4="", 1140101, $B$4),3),MID(IF($B$4="", 1140101, $B$4),4,2),RIGHT(IF($B$4="", 1140101, $B$4),2))+1)-1, "mm/dd") &amp; " 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DATE(1911+LEFT(IF(F10="", IF($B$4="", 1140101, $B$4), F10),3),MID(IF(F10="", IF($B$4="", 1140101, $B$4), F10),4,2),RIGHT(IF(F10="", IF($B$4="", 1140101, $B$4), F10),2))) - DATE(YEAR(DATE(1911+LEFT(IF($B$4="", 1140101, $B$4),3),MID(IF($B$4="", 1140101, $B$4),4,2),RIGHT(IF($B$4="", 1140101, $B$4),2))),MONTH(DATE(1911+LEFT(IF($B$4="", 1140101, $B$4),3),MID(IF($B$4="", 1140101, $B$4),4,2),RIGHT(IF($B$4="", 1140101, $B$4),2))),1) + 1) &amp; "天)" &amp; CHAR(10) &amp; "$" &amp; TEXT(D10, "#,##0") &amp; "×("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DATE(1911+LEFT(IF(F10="", IF($B$4="", 1140101, $B$4), F10),3),MID(IF(F10="", IF($B$4="", 1140101, $B$4), F10),4,2),RIGHT(IF(F10="", IF($B$4="", 1140101, $B$4), F10),2))) - DATE(YEAR(DATE(1911+LEFT(IF($B$4="", 1140101, $B$4),3),MID(IF($B$4="", 1140101, $B$4),4,2),RIGHT(IF($B$4="", 1140101, $B$4),2))),MONTH(DATE(1911+LEFT(IF($B$4="", 1140101, $B$4),3),MID(IF($B$4="", 1140101, $B$4),4,2),RIGHT(IF($B$4="", 1140101, $B$4),2))),1) + 1) &amp; "/" &amp; DAY(EOMONTH(DATE(1911+LEFT(IF($B$4="", 1140101, $B$4),3),MID(IF($B$4="", 1140101, $B$4),4,2),RIGHT(IF($B$4="", 1140101, $B$4),2)),0)) &amp; ")", ""), "")</f>
        <v/>
      </c>
      <c r="J10" s="23">
        <f>IF(AND(D10&lt;&gt;"", F10&lt;&gt;""),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DATE(1911+LEFT(IF(F10="", IF($B$4="", 1140101, $B$4), F10),3),MID(IF(F10="", IF($B$4="", 1140101, $B$4), F10),4,2),RIGHT(IF(F10="", IF($B$4="", 1140101, $B$4), F10),2))) - DATE(YEAR(DATE(1911+LEFT(IF($B$4="", 1140101, $B$4),3),MID(IF($B$4="", 1140101, $B$4),4,2),RIGHT(IF($B$4="", 1140101, $B$4),2))),MONTH(DATE(1911+LEFT(IF($B$4="", 1140101, $B$4),3),MID(IF($B$4="", 1140101, $B$4),4,2),RIGHT(IF($B$4="", 1140101, $B$4),2))),1) + 1)&gt;0, ROUND(D10/DAY(EOMONTH(DATE(1911+LEFT(IF($B$4="", 1140101, $B$4),3),MID(IF($B$4="", 1140101, $B$4),4,2),RIGHT(IF($B$4="", 1140101, $B$4),2)),0))*MAX(0,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DATE(1911+LEFT(IF(F10="", IF($B$4="", 1140101, $B$4), F10),3),MID(IF(F10="", IF($B$4="", 1140101, $B$4), F10),4,2),RIGHT(IF(F10="", IF($B$4="", 1140101, $B$4), F10),2))) - DATE(YEAR(DATE(1911+LEFT(IF($B$4="", 1140101, $B$4),3),MID(IF($B$4="", 1140101, $B$4),4,2),RIGHT(IF($B$4="", 1140101, $B$4),2))),MONTH(DATE(1911+LEFT(IF($B$4="", 1140101, $B$4),3),MID(IF($B$4="", 1140101, $B$4),4,2),RIGHT(IF($B$4="", 1140101, $B$4),2))),1) + 1), 0), 0), "")</f>
        <v/>
      </c>
    </row>
    <row r="11" ht="35" customHeight="1">
      <c r="A11" s="16" t="inlineStr"/>
      <c r="B11" s="17" t="inlineStr"/>
      <c r="C11" s="17" t="inlineStr"/>
      <c r="D11" s="18" t="inlineStr"/>
      <c r="E11" s="18" t="inlineStr"/>
      <c r="F11" s="19" t="inlineStr"/>
      <c r="G11" s="20">
        <f>IF(AND(D11&lt;&gt;"", F11&lt;&gt;""), IF(MAX(0, DATE(1911+LEFT(IF(F11="", IF($B$4="", 1140101, $B$4), F11),3),MID(IF(F11="", IF($B$4="", 1140101, $B$4), F11),4,2),RIGHT(IF(F11="", IF($B$4="", 1140101, $B$4), F11),2))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TEXT(DATE(1911+LEFT(IF(F11="", IF($B$4="", 1140101, $B$4), F11),3),MID(IF(F11="", IF($B$4="", 1140101, $B$4), F11),4,2),RIGHT(IF(F11="", IF($B$4="", 1140101, $B$4), F11),2)), "mm/dd") &amp; " (" &amp; MAX(0, DATE(1911+LEFT(IF(F11="", IF($B$4="", 1140101, $B$4), F11),3),MID(IF(F11="", IF($B$4="", 1140101, $B$4), F11),4,2),RIGHT(IF(F11="", IF($B$4="", 1140101, $B$4), F11),2))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"天)" &amp; CHAR(10) &amp; "$" &amp; TEXT(D11, "#,##0") &amp; "×(" &amp; MAX(0, DATE(1911+LEFT(IF(F11="", IF($B$4="", 1140101, $B$4), F11),3),MID(IF(F11="", IF($B$4="", 1140101, $B$4), F11),4,2),RIGHT(IF(F11="", IF($B$4="", 1140101, $B$4), F11),2))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"/" &amp; DAY(EOMONTH(DATE(1911+LEFT(IF($B$4="", 1140101, $B$4),3),MID(IF($B$4="", 1140101, $B$4),4,2),RIGHT(IF($B$4="", 1140101, $B$4),2)),0)) &amp; ")", ""), "")</f>
        <v/>
      </c>
      <c r="H11" s="21">
        <f>IF(AND(D11&lt;&gt;"", F11&lt;&gt;""), IF(MAX(0, DATE(1911+LEFT(IF(F11="", IF($B$4="", 1140101, $B$4), F11),3),MID(IF(F11="", IF($B$4="", 1140101, $B$4), F11),4,2),RIGHT(IF(F11="", IF($B$4="", 1140101, $B$4), F11),2))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ROUND(D11/DAY(EOMONTH(DATE(1911+LEFT(IF($B$4="", 1140101, $B$4),3),MID(IF($B$4="", 1140101, $B$4),4,2),RIGHT(IF($B$4="", 1140101, $B$4),2)),0))*MAX(0, DATE(1911+LEFT(IF(F11="", IF($B$4="", 1140101, $B$4), F11),3),MID(IF(F11="", IF($B$4="", 1140101, $B$4), F11),4,2),RIGHT(IF(F11="", IF($B$4="", 1140101, $B$4), F11),2)) - IF($B$5="歸買方", DATE(1911+LEFT(IF($B$4="", 1140101, $B$4),3),MID(IF($B$4="", 1140101, $B$4),4,2),RIGHT(IF($B$4="", 1140101, $B$4),2)), DATE(1911+LEFT(IF($B$4="", 1140101, $B$4),3),MID(IF($B$4="", 1140101, $B$4),4,2),RIGHT(IF($B$4="", 1140101, $B$4),2))+1) + 1), 0), 0), "")</f>
        <v/>
      </c>
      <c r="I11" s="22">
        <f>IF(AND(D11&lt;&gt;"", F11&lt;&gt;""),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DATE(1911+LEFT(IF(F11="", IF($B$4="", 1140101, $B$4), F11),3),MID(IF(F11="", IF($B$4="", 1140101, $B$4), F11),4,2),RIGHT(IF(F11="", IF($B$4="", 1140101, $B$4), F11),2))) - DATE(YEAR(DATE(1911+LEFT(IF($B$4="", 1140101, $B$4),3),MID(IF($B$4="", 1140101, $B$4),4,2),RIGHT(IF($B$4="", 1140101, $B$4),2))),MONTH(DATE(1911+LEFT(IF($B$4="", 1140101, $B$4),3),MID(IF($B$4="", 1140101, $B$4),4,2),RIGHT(IF($B$4="", 1140101, $B$4),2))),1) + 1)&gt;0, TEXT(MAX(DATE(YEAR(DATE(1911+LEFT(IF($B$4="", 1140101, $B$4),3),MID(IF($B$4="", 1140101, $B$4),4,2),RIGHT(IF($B$4="", 1140101, $B$4),2))),MONTH(DATE(1911+LEFT(IF($B$4="", 1140101, $B$4),3),MID(IF($B$4="", 1140101, $B$4),4,2),RIGHT(IF($B$4="", 1140101, $B$4),2))),1), DATE(1911+LEFT(IF(F11="", IF($B$4="", 1140101, $B$4), F11),3),MID(IF(F11="", IF($B$4="", 1140101, $B$4), F11),4,2),RIGHT(IF(F11="", IF($B$4="", 1140101, $B$4), F11),2))+1), "mm/dd") &amp; "~" &amp; TEXT(IF($B$5="歸買方", DATE(1911+LEFT(IF($B$4="", 1140101, $B$4),3),MID(IF($B$4="", 1140101, $B$4),4,2),RIGHT(IF($B$4="", 1140101, $B$4),2)), DATE(1911+LEFT(IF($B$4="", 1140101, $B$4),3),MID(IF($B$4="", 1140101, $B$4),4,2),RIGHT(IF($B$4="", 1140101, $B$4),2))+1)-1, "mm/dd") &amp; " 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DATE(1911+LEFT(IF(F11="", IF($B$4="", 1140101, $B$4), F11),3),MID(IF(F11="", IF($B$4="", 1140101, $B$4), F11),4,2),RIGHT(IF(F11="", IF($B$4="", 1140101, $B$4), F11),2))) - DATE(YEAR(DATE(1911+LEFT(IF($B$4="", 1140101, $B$4),3),MID(IF($B$4="", 1140101, $B$4),4,2),RIGHT(IF($B$4="", 1140101, $B$4),2))),MONTH(DATE(1911+LEFT(IF($B$4="", 1140101, $B$4),3),MID(IF($B$4="", 1140101, $B$4),4,2),RIGHT(IF($B$4="", 1140101, $B$4),2))),1) + 1) &amp; "天)" &amp; CHAR(10) &amp; "$" &amp; TEXT(D11, "#,##0") &amp; "×("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DATE(1911+LEFT(IF(F11="", IF($B$4="", 1140101, $B$4), F11),3),MID(IF(F11="", IF($B$4="", 1140101, $B$4), F11),4,2),RIGHT(IF(F11="", IF($B$4="", 1140101, $B$4), F11),2))) - DATE(YEAR(DATE(1911+LEFT(IF($B$4="", 1140101, $B$4),3),MID(IF($B$4="", 1140101, $B$4),4,2),RIGHT(IF($B$4="", 1140101, $B$4),2))),MONTH(DATE(1911+LEFT(IF($B$4="", 1140101, $B$4),3),MID(IF($B$4="", 1140101, $B$4),4,2),RIGHT(IF($B$4="", 1140101, $B$4),2))),1) + 1) &amp; "/" &amp; DAY(EOMONTH(DATE(1911+LEFT(IF($B$4="", 1140101, $B$4),3),MID(IF($B$4="", 1140101, $B$4),4,2),RIGHT(IF($B$4="", 1140101, $B$4),2)),0)) &amp; ")", ""), "")</f>
        <v/>
      </c>
      <c r="J11" s="23">
        <f>IF(AND(D11&lt;&gt;"", F11&lt;&gt;""),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DATE(1911+LEFT(IF(F11="", IF($B$4="", 1140101, $B$4), F11),3),MID(IF(F11="", IF($B$4="", 1140101, $B$4), F11),4,2),RIGHT(IF(F11="", IF($B$4="", 1140101, $B$4), F11),2))) - DATE(YEAR(DATE(1911+LEFT(IF($B$4="", 1140101, $B$4),3),MID(IF($B$4="", 1140101, $B$4),4,2),RIGHT(IF($B$4="", 1140101, $B$4),2))),MONTH(DATE(1911+LEFT(IF($B$4="", 1140101, $B$4),3),MID(IF($B$4="", 1140101, $B$4),4,2),RIGHT(IF($B$4="", 1140101, $B$4),2))),1) + 1)&gt;0, ROUND(D11/DAY(EOMONTH(DATE(1911+LEFT(IF($B$4="", 1140101, $B$4),3),MID(IF($B$4="", 1140101, $B$4),4,2),RIGHT(IF($B$4="", 1140101, $B$4),2)),0))*MAX(0,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DATE(1911+LEFT(IF(F11="", IF($B$4="", 1140101, $B$4), F11),3),MID(IF(F11="", IF($B$4="", 1140101, $B$4), F11),4,2),RIGHT(IF(F11="", IF($B$4="", 1140101, $B$4), F11),2))) - DATE(YEAR(DATE(1911+LEFT(IF($B$4="", 1140101, $B$4),3),MID(IF($B$4="", 1140101, $B$4),4,2),RIGHT(IF($B$4="", 1140101, $B$4),2))),MONTH(DATE(1911+LEFT(IF($B$4="", 1140101, $B$4),3),MID(IF($B$4="", 1140101, $B$4),4,2),RIGHT(IF($B$4="", 1140101, $B$4),2))),1) + 1), 0), 0), "")</f>
        <v/>
      </c>
    </row>
    <row r="12" ht="35" customHeight="1">
      <c r="A12" s="16" t="inlineStr"/>
      <c r="B12" s="17" t="inlineStr"/>
      <c r="C12" s="17" t="inlineStr"/>
      <c r="D12" s="18" t="inlineStr"/>
      <c r="E12" s="18" t="inlineStr"/>
      <c r="F12" s="19" t="inlineStr"/>
      <c r="G12" s="20">
        <f>IF(AND(D12&lt;&gt;"", F12&lt;&gt;""), IF(MAX(0, DATE(1911+LEFT(IF(F12="", IF($B$4="", 1140101, $B$4), F12),3),MID(IF(F12="", IF($B$4="", 1140101, $B$4), F12),4,2),RIGHT(IF(F12="", IF($B$4="", 1140101, $B$4), F12),2))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TEXT(DATE(1911+LEFT(IF(F12="", IF($B$4="", 1140101, $B$4), F12),3),MID(IF(F12="", IF($B$4="", 1140101, $B$4), F12),4,2),RIGHT(IF(F12="", IF($B$4="", 1140101, $B$4), F12),2)), "mm/dd") &amp; " (" &amp; MAX(0, DATE(1911+LEFT(IF(F12="", IF($B$4="", 1140101, $B$4), F12),3),MID(IF(F12="", IF($B$4="", 1140101, $B$4), F12),4,2),RIGHT(IF(F12="", IF($B$4="", 1140101, $B$4), F12),2))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"天)" &amp; CHAR(10) &amp; "$" &amp; TEXT(D12, "#,##0") &amp; "×(" &amp; MAX(0, DATE(1911+LEFT(IF(F12="", IF($B$4="", 1140101, $B$4), F12),3),MID(IF(F12="", IF($B$4="", 1140101, $B$4), F12),4,2),RIGHT(IF(F12="", IF($B$4="", 1140101, $B$4), F12),2))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"/" &amp; DAY(EOMONTH(DATE(1911+LEFT(IF($B$4="", 1140101, $B$4),3),MID(IF($B$4="", 1140101, $B$4),4,2),RIGHT(IF($B$4="", 1140101, $B$4),2)),0)) &amp; ")", ""), "")</f>
        <v/>
      </c>
      <c r="H12" s="21">
        <f>IF(AND(D12&lt;&gt;"", F12&lt;&gt;""), IF(MAX(0, DATE(1911+LEFT(IF(F12="", IF($B$4="", 1140101, $B$4), F12),3),MID(IF(F12="", IF($B$4="", 1140101, $B$4), F12),4,2),RIGHT(IF(F12="", IF($B$4="", 1140101, $B$4), F12),2))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ROUND(D12/DAY(EOMONTH(DATE(1911+LEFT(IF($B$4="", 1140101, $B$4),3),MID(IF($B$4="", 1140101, $B$4),4,2),RIGHT(IF($B$4="", 1140101, $B$4),2)),0))*MAX(0, DATE(1911+LEFT(IF(F12="", IF($B$4="", 1140101, $B$4), F12),3),MID(IF(F12="", IF($B$4="", 1140101, $B$4), F12),4,2),RIGHT(IF(F12="", IF($B$4="", 1140101, $B$4), F12),2)) - IF($B$5="歸買方", DATE(1911+LEFT(IF($B$4="", 1140101, $B$4),3),MID(IF($B$4="", 1140101, $B$4),4,2),RIGHT(IF($B$4="", 1140101, $B$4),2)), DATE(1911+LEFT(IF($B$4="", 1140101, $B$4),3),MID(IF($B$4="", 1140101, $B$4),4,2),RIGHT(IF($B$4="", 1140101, $B$4),2))+1) + 1), 0), 0), "")</f>
        <v/>
      </c>
      <c r="I12" s="22">
        <f>IF(AND(D12&lt;&gt;"", F12&lt;&gt;""),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DATE(1911+LEFT(IF(F12="", IF($B$4="", 1140101, $B$4), F12),3),MID(IF(F12="", IF($B$4="", 1140101, $B$4), F12),4,2),RIGHT(IF(F12="", IF($B$4="", 1140101, $B$4), F12),2))) - DATE(YEAR(DATE(1911+LEFT(IF($B$4="", 1140101, $B$4),3),MID(IF($B$4="", 1140101, $B$4),4,2),RIGHT(IF($B$4="", 1140101, $B$4),2))),MONTH(DATE(1911+LEFT(IF($B$4="", 1140101, $B$4),3),MID(IF($B$4="", 1140101, $B$4),4,2),RIGHT(IF($B$4="", 1140101, $B$4),2))),1) + 1)&gt;0, TEXT(MAX(DATE(YEAR(DATE(1911+LEFT(IF($B$4="", 1140101, $B$4),3),MID(IF($B$4="", 1140101, $B$4),4,2),RIGHT(IF($B$4="", 1140101, $B$4),2))),MONTH(DATE(1911+LEFT(IF($B$4="", 1140101, $B$4),3),MID(IF($B$4="", 1140101, $B$4),4,2),RIGHT(IF($B$4="", 1140101, $B$4),2))),1), DATE(1911+LEFT(IF(F12="", IF($B$4="", 1140101, $B$4), F12),3),MID(IF(F12="", IF($B$4="", 1140101, $B$4), F12),4,2),RIGHT(IF(F12="", IF($B$4="", 1140101, $B$4), F12),2))+1), "mm/dd") &amp; "~" &amp; TEXT(IF($B$5="歸買方", DATE(1911+LEFT(IF($B$4="", 1140101, $B$4),3),MID(IF($B$4="", 1140101, $B$4),4,2),RIGHT(IF($B$4="", 1140101, $B$4),2)), DATE(1911+LEFT(IF($B$4="", 1140101, $B$4),3),MID(IF($B$4="", 1140101, $B$4),4,2),RIGHT(IF($B$4="", 1140101, $B$4),2))+1)-1, "mm/dd") &amp; " 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DATE(1911+LEFT(IF(F12="", IF($B$4="", 1140101, $B$4), F12),3),MID(IF(F12="", IF($B$4="", 1140101, $B$4), F12),4,2),RIGHT(IF(F12="", IF($B$4="", 1140101, $B$4), F12),2))) - DATE(YEAR(DATE(1911+LEFT(IF($B$4="", 1140101, $B$4),3),MID(IF($B$4="", 1140101, $B$4),4,2),RIGHT(IF($B$4="", 1140101, $B$4),2))),MONTH(DATE(1911+LEFT(IF($B$4="", 1140101, $B$4),3),MID(IF($B$4="", 1140101, $B$4),4,2),RIGHT(IF($B$4="", 1140101, $B$4),2))),1) + 1) &amp; "天)" &amp; CHAR(10) &amp; "$" &amp; TEXT(D12, "#,##0") &amp; "×("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DATE(1911+LEFT(IF(F12="", IF($B$4="", 1140101, $B$4), F12),3),MID(IF(F12="", IF($B$4="", 1140101, $B$4), F12),4,2),RIGHT(IF(F12="", IF($B$4="", 1140101, $B$4), F12),2))) - DATE(YEAR(DATE(1911+LEFT(IF($B$4="", 1140101, $B$4),3),MID(IF($B$4="", 1140101, $B$4),4,2),RIGHT(IF($B$4="", 1140101, $B$4),2))),MONTH(DATE(1911+LEFT(IF($B$4="", 1140101, $B$4),3),MID(IF($B$4="", 1140101, $B$4),4,2),RIGHT(IF($B$4="", 1140101, $B$4),2))),1) + 1) &amp; "/" &amp; DAY(EOMONTH(DATE(1911+LEFT(IF($B$4="", 1140101, $B$4),3),MID(IF($B$4="", 1140101, $B$4),4,2),RIGHT(IF($B$4="", 1140101, $B$4),2)),0)) &amp; ")", ""), "")</f>
        <v/>
      </c>
      <c r="J12" s="23">
        <f>IF(AND(D12&lt;&gt;"", F12&lt;&gt;""),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DATE(1911+LEFT(IF(F12="", IF($B$4="", 1140101, $B$4), F12),3),MID(IF(F12="", IF($B$4="", 1140101, $B$4), F12),4,2),RIGHT(IF(F12="", IF($B$4="", 1140101, $B$4), F12),2))) - DATE(YEAR(DATE(1911+LEFT(IF($B$4="", 1140101, $B$4),3),MID(IF($B$4="", 1140101, $B$4),4,2),RIGHT(IF($B$4="", 1140101, $B$4),2))),MONTH(DATE(1911+LEFT(IF($B$4="", 1140101, $B$4),3),MID(IF($B$4="", 1140101, $B$4),4,2),RIGHT(IF($B$4="", 1140101, $B$4),2))),1) + 1)&gt;0, ROUND(D12/DAY(EOMONTH(DATE(1911+LEFT(IF($B$4="", 1140101, $B$4),3),MID(IF($B$4="", 1140101, $B$4),4,2),RIGHT(IF($B$4="", 1140101, $B$4),2)),0))*MAX(0,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DATE(1911+LEFT(IF(F12="", IF($B$4="", 1140101, $B$4), F12),3),MID(IF(F12="", IF($B$4="", 1140101, $B$4), F12),4,2),RIGHT(IF(F12="", IF($B$4="", 1140101, $B$4), F12),2))) - DATE(YEAR(DATE(1911+LEFT(IF($B$4="", 1140101, $B$4),3),MID(IF($B$4="", 1140101, $B$4),4,2),RIGHT(IF($B$4="", 1140101, $B$4),2))),MONTH(DATE(1911+LEFT(IF($B$4="", 1140101, $B$4),3),MID(IF($B$4="", 1140101, $B$4),4,2),RIGHT(IF($B$4="", 1140101, $B$4),2))),1) + 1), 0), 0), "")</f>
        <v/>
      </c>
    </row>
    <row r="13" ht="35" customHeight="1">
      <c r="A13" s="16" t="inlineStr"/>
      <c r="B13" s="17" t="inlineStr"/>
      <c r="C13" s="17" t="inlineStr"/>
      <c r="D13" s="18" t="inlineStr"/>
      <c r="E13" s="18" t="inlineStr"/>
      <c r="F13" s="19" t="inlineStr"/>
      <c r="G13" s="20">
        <f>IF(AND(D13&lt;&gt;"", F13&lt;&gt;""), IF(MAX(0, DATE(1911+LEFT(IF(F13="", IF($B$4="", 1140101, $B$4), F13),3),MID(IF(F13="", IF($B$4="", 1140101, $B$4), F13),4,2),RIGHT(IF(F13="", IF($B$4="", 1140101, $B$4), F13),2))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TEXT(DATE(1911+LEFT(IF(F13="", IF($B$4="", 1140101, $B$4), F13),3),MID(IF(F13="", IF($B$4="", 1140101, $B$4), F13),4,2),RIGHT(IF(F13="", IF($B$4="", 1140101, $B$4), F13),2)), "mm/dd") &amp; " (" &amp; MAX(0, DATE(1911+LEFT(IF(F13="", IF($B$4="", 1140101, $B$4), F13),3),MID(IF(F13="", IF($B$4="", 1140101, $B$4), F13),4,2),RIGHT(IF(F13="", IF($B$4="", 1140101, $B$4), F13),2))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"天)" &amp; CHAR(10) &amp; "$" &amp; TEXT(D13, "#,##0") &amp; "×(" &amp; MAX(0, DATE(1911+LEFT(IF(F13="", IF($B$4="", 1140101, $B$4), F13),3),MID(IF(F13="", IF($B$4="", 1140101, $B$4), F13),4,2),RIGHT(IF(F13="", IF($B$4="", 1140101, $B$4), F13),2))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"/" &amp; DAY(EOMONTH(DATE(1911+LEFT(IF($B$4="", 1140101, $B$4),3),MID(IF($B$4="", 1140101, $B$4),4,2),RIGHT(IF($B$4="", 1140101, $B$4),2)),0)) &amp; ")", ""), "")</f>
        <v/>
      </c>
      <c r="H13" s="21">
        <f>IF(AND(D13&lt;&gt;"", F13&lt;&gt;""), IF(MAX(0, DATE(1911+LEFT(IF(F13="", IF($B$4="", 1140101, $B$4), F13),3),MID(IF(F13="", IF($B$4="", 1140101, $B$4), F13),4,2),RIGHT(IF(F13="", IF($B$4="", 1140101, $B$4), F13),2))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ROUND(D13/DAY(EOMONTH(DATE(1911+LEFT(IF($B$4="", 1140101, $B$4),3),MID(IF($B$4="", 1140101, $B$4),4,2),RIGHT(IF($B$4="", 1140101, $B$4),2)),0))*MAX(0, DATE(1911+LEFT(IF(F13="", IF($B$4="", 1140101, $B$4), F13),3),MID(IF(F13="", IF($B$4="", 1140101, $B$4), F13),4,2),RIGHT(IF(F13="", IF($B$4="", 1140101, $B$4), F13),2)) - IF($B$5="歸買方", DATE(1911+LEFT(IF($B$4="", 1140101, $B$4),3),MID(IF($B$4="", 1140101, $B$4),4,2),RIGHT(IF($B$4="", 1140101, $B$4),2)), DATE(1911+LEFT(IF($B$4="", 1140101, $B$4),3),MID(IF($B$4="", 1140101, $B$4),4,2),RIGHT(IF($B$4="", 1140101, $B$4),2))+1) + 1), 0), 0), "")</f>
        <v/>
      </c>
      <c r="I13" s="22">
        <f>IF(AND(D13&lt;&gt;"", F13&lt;&gt;""),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DATE(1911+LEFT(IF(F13="", IF($B$4="", 1140101, $B$4), F13),3),MID(IF(F13="", IF($B$4="", 1140101, $B$4), F13),4,2),RIGHT(IF(F13="", IF($B$4="", 1140101, $B$4), F13),2))) - DATE(YEAR(DATE(1911+LEFT(IF($B$4="", 1140101, $B$4),3),MID(IF($B$4="", 1140101, $B$4),4,2),RIGHT(IF($B$4="", 1140101, $B$4),2))),MONTH(DATE(1911+LEFT(IF($B$4="", 1140101, $B$4),3),MID(IF($B$4="", 1140101, $B$4),4,2),RIGHT(IF($B$4="", 1140101, $B$4),2))),1) + 1)&gt;0, TEXT(MAX(DATE(YEAR(DATE(1911+LEFT(IF($B$4="", 1140101, $B$4),3),MID(IF($B$4="", 1140101, $B$4),4,2),RIGHT(IF($B$4="", 1140101, $B$4),2))),MONTH(DATE(1911+LEFT(IF($B$4="", 1140101, $B$4),3),MID(IF($B$4="", 1140101, $B$4),4,2),RIGHT(IF($B$4="", 1140101, $B$4),2))),1), DATE(1911+LEFT(IF(F13="", IF($B$4="", 1140101, $B$4), F13),3),MID(IF(F13="", IF($B$4="", 1140101, $B$4), F13),4,2),RIGHT(IF(F13="", IF($B$4="", 1140101, $B$4), F13),2))+1), "mm/dd") &amp; "~" &amp; TEXT(IF($B$5="歸買方", DATE(1911+LEFT(IF($B$4="", 1140101, $B$4),3),MID(IF($B$4="", 1140101, $B$4),4,2),RIGHT(IF($B$4="", 1140101, $B$4),2)), DATE(1911+LEFT(IF($B$4="", 1140101, $B$4),3),MID(IF($B$4="", 1140101, $B$4),4,2),RIGHT(IF($B$4="", 1140101, $B$4),2))+1)-1, "mm/dd") &amp; " 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DATE(1911+LEFT(IF(F13="", IF($B$4="", 1140101, $B$4), F13),3),MID(IF(F13="", IF($B$4="", 1140101, $B$4), F13),4,2),RIGHT(IF(F13="", IF($B$4="", 1140101, $B$4), F13),2))) - DATE(YEAR(DATE(1911+LEFT(IF($B$4="", 1140101, $B$4),3),MID(IF($B$4="", 1140101, $B$4),4,2),RIGHT(IF($B$4="", 1140101, $B$4),2))),MONTH(DATE(1911+LEFT(IF($B$4="", 1140101, $B$4),3),MID(IF($B$4="", 1140101, $B$4),4,2),RIGHT(IF($B$4="", 1140101, $B$4),2))),1) + 1) &amp; "天)" &amp; CHAR(10) &amp; "$" &amp; TEXT(D13, "#,##0") &amp; "×("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DATE(1911+LEFT(IF(F13="", IF($B$4="", 1140101, $B$4), F13),3),MID(IF(F13="", IF($B$4="", 1140101, $B$4), F13),4,2),RIGHT(IF(F13="", IF($B$4="", 1140101, $B$4), F13),2))) - DATE(YEAR(DATE(1911+LEFT(IF($B$4="", 1140101, $B$4),3),MID(IF($B$4="", 1140101, $B$4),4,2),RIGHT(IF($B$4="", 1140101, $B$4),2))),MONTH(DATE(1911+LEFT(IF($B$4="", 1140101, $B$4),3),MID(IF($B$4="", 1140101, $B$4),4,2),RIGHT(IF($B$4="", 1140101, $B$4),2))),1) + 1) &amp; "/" &amp; DAY(EOMONTH(DATE(1911+LEFT(IF($B$4="", 1140101, $B$4),3),MID(IF($B$4="", 1140101, $B$4),4,2),RIGHT(IF($B$4="", 1140101, $B$4),2)),0)) &amp; ")", ""), "")</f>
        <v/>
      </c>
      <c r="J13" s="23">
        <f>IF(AND(D13&lt;&gt;"", F13&lt;&gt;""),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DATE(1911+LEFT(IF(F13="", IF($B$4="", 1140101, $B$4), F13),3),MID(IF(F13="", IF($B$4="", 1140101, $B$4), F13),4,2),RIGHT(IF(F13="", IF($B$4="", 1140101, $B$4), F13),2))) - DATE(YEAR(DATE(1911+LEFT(IF($B$4="", 1140101, $B$4),3),MID(IF($B$4="", 1140101, $B$4),4,2),RIGHT(IF($B$4="", 1140101, $B$4),2))),MONTH(DATE(1911+LEFT(IF($B$4="", 1140101, $B$4),3),MID(IF($B$4="", 1140101, $B$4),4,2),RIGHT(IF($B$4="", 1140101, $B$4),2))),1) + 1)&gt;0, ROUND(D13/DAY(EOMONTH(DATE(1911+LEFT(IF($B$4="", 1140101, $B$4),3),MID(IF($B$4="", 1140101, $B$4),4,2),RIGHT(IF($B$4="", 1140101, $B$4),2)),0))*MAX(0,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DATE(1911+LEFT(IF(F13="", IF($B$4="", 1140101, $B$4), F13),3),MID(IF(F13="", IF($B$4="", 1140101, $B$4), F13),4,2),RIGHT(IF(F13="", IF($B$4="", 1140101, $B$4), F13),2))) - DATE(YEAR(DATE(1911+LEFT(IF($B$4="", 1140101, $B$4),3),MID(IF($B$4="", 1140101, $B$4),4,2),RIGHT(IF($B$4="", 1140101, $B$4),2))),MONTH(DATE(1911+LEFT(IF($B$4="", 1140101, $B$4),3),MID(IF($B$4="", 1140101, $B$4),4,2),RIGHT(IF($B$4="", 1140101, $B$4),2))),1) + 1), 0), 0), "")</f>
        <v/>
      </c>
    </row>
    <row r="14" ht="35" customHeight="1">
      <c r="A14" s="16" t="inlineStr"/>
      <c r="B14" s="17" t="inlineStr"/>
      <c r="C14" s="17" t="inlineStr"/>
      <c r="D14" s="18" t="inlineStr"/>
      <c r="E14" s="18" t="inlineStr"/>
      <c r="F14" s="19" t="inlineStr"/>
      <c r="G14" s="20">
        <f>IF(AND(D14&lt;&gt;"", F14&lt;&gt;""), IF(MAX(0, DATE(1911+LEFT(IF(F14="", IF($B$4="", 1140101, $B$4), F14),3),MID(IF(F14="", IF($B$4="", 1140101, $B$4), F14),4,2),RIGHT(IF(F14="", IF($B$4="", 1140101, $B$4), F14),2))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TEXT(DATE(1911+LEFT(IF(F14="", IF($B$4="", 1140101, $B$4), F14),3),MID(IF(F14="", IF($B$4="", 1140101, $B$4), F14),4,2),RIGHT(IF(F14="", IF($B$4="", 1140101, $B$4), F14),2)), "mm/dd") &amp; " (" &amp; MAX(0, DATE(1911+LEFT(IF(F14="", IF($B$4="", 1140101, $B$4), F14),3),MID(IF(F14="", IF($B$4="", 1140101, $B$4), F14),4,2),RIGHT(IF(F14="", IF($B$4="", 1140101, $B$4), F14),2))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"天)" &amp; CHAR(10) &amp; "$" &amp; TEXT(D14, "#,##0") &amp; "×(" &amp; MAX(0, DATE(1911+LEFT(IF(F14="", IF($B$4="", 1140101, $B$4), F14),3),MID(IF(F14="", IF($B$4="", 1140101, $B$4), F14),4,2),RIGHT(IF(F14="", IF($B$4="", 1140101, $B$4), F14),2))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"/" &amp; DAY(EOMONTH(DATE(1911+LEFT(IF($B$4="", 1140101, $B$4),3),MID(IF($B$4="", 1140101, $B$4),4,2),RIGHT(IF($B$4="", 1140101, $B$4),2)),0)) &amp; ")", ""), "")</f>
        <v/>
      </c>
      <c r="H14" s="21">
        <f>IF(AND(D14&lt;&gt;"", F14&lt;&gt;""), IF(MAX(0, DATE(1911+LEFT(IF(F14="", IF($B$4="", 1140101, $B$4), F14),3),MID(IF(F14="", IF($B$4="", 1140101, $B$4), F14),4,2),RIGHT(IF(F14="", IF($B$4="", 1140101, $B$4), F14),2))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ROUND(D14/DAY(EOMONTH(DATE(1911+LEFT(IF($B$4="", 1140101, $B$4),3),MID(IF($B$4="", 1140101, $B$4),4,2),RIGHT(IF($B$4="", 1140101, $B$4),2)),0))*MAX(0, DATE(1911+LEFT(IF(F14="", IF($B$4="", 1140101, $B$4), F14),3),MID(IF(F14="", IF($B$4="", 1140101, $B$4), F14),4,2),RIGHT(IF(F14="", IF($B$4="", 1140101, $B$4), F14),2)) - IF($B$5="歸買方", DATE(1911+LEFT(IF($B$4="", 1140101, $B$4),3),MID(IF($B$4="", 1140101, $B$4),4,2),RIGHT(IF($B$4="", 1140101, $B$4),2)), DATE(1911+LEFT(IF($B$4="", 1140101, $B$4),3),MID(IF($B$4="", 1140101, $B$4),4,2),RIGHT(IF($B$4="", 1140101, $B$4),2))+1) + 1), 0), 0), "")</f>
        <v/>
      </c>
      <c r="I14" s="22">
        <f>IF(AND(D14&lt;&gt;"", F14&lt;&gt;""),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DATE(1911+LEFT(IF(F14="", IF($B$4="", 1140101, $B$4), F14),3),MID(IF(F14="", IF($B$4="", 1140101, $B$4), F14),4,2),RIGHT(IF(F14="", IF($B$4="", 1140101, $B$4), F14),2))) - DATE(YEAR(DATE(1911+LEFT(IF($B$4="", 1140101, $B$4),3),MID(IF($B$4="", 1140101, $B$4),4,2),RIGHT(IF($B$4="", 1140101, $B$4),2))),MONTH(DATE(1911+LEFT(IF($B$4="", 1140101, $B$4),3),MID(IF($B$4="", 1140101, $B$4),4,2),RIGHT(IF($B$4="", 1140101, $B$4),2))),1) + 1)&gt;0, TEXT(MAX(DATE(YEAR(DATE(1911+LEFT(IF($B$4="", 1140101, $B$4),3),MID(IF($B$4="", 1140101, $B$4),4,2),RIGHT(IF($B$4="", 1140101, $B$4),2))),MONTH(DATE(1911+LEFT(IF($B$4="", 1140101, $B$4),3),MID(IF($B$4="", 1140101, $B$4),4,2),RIGHT(IF($B$4="", 1140101, $B$4),2))),1), DATE(1911+LEFT(IF(F14="", IF($B$4="", 1140101, $B$4), F14),3),MID(IF(F14="", IF($B$4="", 1140101, $B$4), F14),4,2),RIGHT(IF(F14="", IF($B$4="", 1140101, $B$4), F14),2))+1), "mm/dd") &amp; "~" &amp; TEXT(IF($B$5="歸買方", DATE(1911+LEFT(IF($B$4="", 1140101, $B$4),3),MID(IF($B$4="", 1140101, $B$4),4,2),RIGHT(IF($B$4="", 1140101, $B$4),2)), DATE(1911+LEFT(IF($B$4="", 1140101, $B$4),3),MID(IF($B$4="", 1140101, $B$4),4,2),RIGHT(IF($B$4="", 1140101, $B$4),2))+1)-1, "mm/dd") &amp; " 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DATE(1911+LEFT(IF(F14="", IF($B$4="", 1140101, $B$4), F14),3),MID(IF(F14="", IF($B$4="", 1140101, $B$4), F14),4,2),RIGHT(IF(F14="", IF($B$4="", 1140101, $B$4), F14),2))) - DATE(YEAR(DATE(1911+LEFT(IF($B$4="", 1140101, $B$4),3),MID(IF($B$4="", 1140101, $B$4),4,2),RIGHT(IF($B$4="", 1140101, $B$4),2))),MONTH(DATE(1911+LEFT(IF($B$4="", 1140101, $B$4),3),MID(IF($B$4="", 1140101, $B$4),4,2),RIGHT(IF($B$4="", 1140101, $B$4),2))),1) + 1) &amp; "天)" &amp; CHAR(10) &amp; "$" &amp; TEXT(D14, "#,##0") &amp; "×("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DATE(1911+LEFT(IF(F14="", IF($B$4="", 1140101, $B$4), F14),3),MID(IF(F14="", IF($B$4="", 1140101, $B$4), F14),4,2),RIGHT(IF(F14="", IF($B$4="", 1140101, $B$4), F14),2))) - DATE(YEAR(DATE(1911+LEFT(IF($B$4="", 1140101, $B$4),3),MID(IF($B$4="", 1140101, $B$4),4,2),RIGHT(IF($B$4="", 1140101, $B$4),2))),MONTH(DATE(1911+LEFT(IF($B$4="", 1140101, $B$4),3),MID(IF($B$4="", 1140101, $B$4),4,2),RIGHT(IF($B$4="", 1140101, $B$4),2))),1) + 1) &amp; "/" &amp; DAY(EOMONTH(DATE(1911+LEFT(IF($B$4="", 1140101, $B$4),3),MID(IF($B$4="", 1140101, $B$4),4,2),RIGHT(IF($B$4="", 1140101, $B$4),2)),0)) &amp; ")", ""), "")</f>
        <v/>
      </c>
      <c r="J14" s="23">
        <f>IF(AND(D14&lt;&gt;"", F14&lt;&gt;""),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DATE(1911+LEFT(IF(F14="", IF($B$4="", 1140101, $B$4), F14),3),MID(IF(F14="", IF($B$4="", 1140101, $B$4), F14),4,2),RIGHT(IF(F14="", IF($B$4="", 1140101, $B$4), F14),2))) - DATE(YEAR(DATE(1911+LEFT(IF($B$4="", 1140101, $B$4),3),MID(IF($B$4="", 1140101, $B$4),4,2),RIGHT(IF($B$4="", 1140101, $B$4),2))),MONTH(DATE(1911+LEFT(IF($B$4="", 1140101, $B$4),3),MID(IF($B$4="", 1140101, $B$4),4,2),RIGHT(IF($B$4="", 1140101, $B$4),2))),1) + 1)&gt;0, ROUND(D14/DAY(EOMONTH(DATE(1911+LEFT(IF($B$4="", 1140101, $B$4),3),MID(IF($B$4="", 1140101, $B$4),4,2),RIGHT(IF($B$4="", 1140101, $B$4),2)),0))*MAX(0,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DATE(1911+LEFT(IF(F14="", IF($B$4="", 1140101, $B$4), F14),3),MID(IF(F14="", IF($B$4="", 1140101, $B$4), F14),4,2),RIGHT(IF(F14="", IF($B$4="", 1140101, $B$4), F14),2))) - DATE(YEAR(DATE(1911+LEFT(IF($B$4="", 1140101, $B$4),3),MID(IF($B$4="", 1140101, $B$4),4,2),RIGHT(IF($B$4="", 1140101, $B$4),2))),MONTH(DATE(1911+LEFT(IF($B$4="", 1140101, $B$4),3),MID(IF($B$4="", 1140101, $B$4),4,2),RIGHT(IF($B$4="", 1140101, $B$4),2))),1) + 1), 0), 0), "")</f>
        <v/>
      </c>
    </row>
    <row r="15" ht="35" customHeight="1">
      <c r="A15" s="16" t="inlineStr"/>
      <c r="B15" s="17" t="inlineStr"/>
      <c r="C15" s="17" t="inlineStr"/>
      <c r="D15" s="18" t="inlineStr"/>
      <c r="E15" s="18" t="inlineStr"/>
      <c r="F15" s="19" t="inlineStr"/>
      <c r="G15" s="20">
        <f>IF(AND(D15&lt;&gt;"", F15&lt;&gt;""), IF(MAX(0, DATE(1911+LEFT(IF(F15="", IF($B$4="", 1140101, $B$4), F15),3),MID(IF(F15="", IF($B$4="", 1140101, $B$4), F15),4,2),RIGHT(IF(F15="", IF($B$4="", 1140101, $B$4), F15),2))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TEXT(DATE(1911+LEFT(IF(F15="", IF($B$4="", 1140101, $B$4), F15),3),MID(IF(F15="", IF($B$4="", 1140101, $B$4), F15),4,2),RIGHT(IF(F15="", IF($B$4="", 1140101, $B$4), F15),2)), "mm/dd") &amp; " (" &amp; MAX(0, DATE(1911+LEFT(IF(F15="", IF($B$4="", 1140101, $B$4), F15),3),MID(IF(F15="", IF($B$4="", 1140101, $B$4), F15),4,2),RIGHT(IF(F15="", IF($B$4="", 1140101, $B$4), F15),2))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"天)" &amp; CHAR(10) &amp; "$" &amp; TEXT(D15, "#,##0") &amp; "×(" &amp; MAX(0, DATE(1911+LEFT(IF(F15="", IF($B$4="", 1140101, $B$4), F15),3),MID(IF(F15="", IF($B$4="", 1140101, $B$4), F15),4,2),RIGHT(IF(F15="", IF($B$4="", 1140101, $B$4), F15),2))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"/" &amp; DAY(EOMONTH(DATE(1911+LEFT(IF($B$4="", 1140101, $B$4),3),MID(IF($B$4="", 1140101, $B$4),4,2),RIGHT(IF($B$4="", 1140101, $B$4),2)),0)) &amp; ")", ""), "")</f>
        <v/>
      </c>
      <c r="H15" s="21">
        <f>IF(AND(D15&lt;&gt;"", F15&lt;&gt;""), IF(MAX(0, DATE(1911+LEFT(IF(F15="", IF($B$4="", 1140101, $B$4), F15),3),MID(IF(F15="", IF($B$4="", 1140101, $B$4), F15),4,2),RIGHT(IF(F15="", IF($B$4="", 1140101, $B$4), F15),2))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ROUND(D15/DAY(EOMONTH(DATE(1911+LEFT(IF($B$4="", 1140101, $B$4),3),MID(IF($B$4="", 1140101, $B$4),4,2),RIGHT(IF($B$4="", 1140101, $B$4),2)),0))*MAX(0, DATE(1911+LEFT(IF(F15="", IF($B$4="", 1140101, $B$4), F15),3),MID(IF(F15="", IF($B$4="", 1140101, $B$4), F15),4,2),RIGHT(IF(F15="", IF($B$4="", 1140101, $B$4), F15),2)) - IF($B$5="歸買方", DATE(1911+LEFT(IF($B$4="", 1140101, $B$4),3),MID(IF($B$4="", 1140101, $B$4),4,2),RIGHT(IF($B$4="", 1140101, $B$4),2)), DATE(1911+LEFT(IF($B$4="", 1140101, $B$4),3),MID(IF($B$4="", 1140101, $B$4),4,2),RIGHT(IF($B$4="", 1140101, $B$4),2))+1) + 1), 0), 0), "")</f>
        <v/>
      </c>
      <c r="I15" s="22">
        <f>IF(AND(D15&lt;&gt;"", F15&lt;&gt;""),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DATE(1911+LEFT(IF(F15="", IF($B$4="", 1140101, $B$4), F15),3),MID(IF(F15="", IF($B$4="", 1140101, $B$4), F15),4,2),RIGHT(IF(F15="", IF($B$4="", 1140101, $B$4), F15),2))) - DATE(YEAR(DATE(1911+LEFT(IF($B$4="", 1140101, $B$4),3),MID(IF($B$4="", 1140101, $B$4),4,2),RIGHT(IF($B$4="", 1140101, $B$4),2))),MONTH(DATE(1911+LEFT(IF($B$4="", 1140101, $B$4),3),MID(IF($B$4="", 1140101, $B$4),4,2),RIGHT(IF($B$4="", 1140101, $B$4),2))),1) + 1)&gt;0, TEXT(MAX(DATE(YEAR(DATE(1911+LEFT(IF($B$4="", 1140101, $B$4),3),MID(IF($B$4="", 1140101, $B$4),4,2),RIGHT(IF($B$4="", 1140101, $B$4),2))),MONTH(DATE(1911+LEFT(IF($B$4="", 1140101, $B$4),3),MID(IF($B$4="", 1140101, $B$4),4,2),RIGHT(IF($B$4="", 1140101, $B$4),2))),1), DATE(1911+LEFT(IF(F15="", IF($B$4="", 1140101, $B$4), F15),3),MID(IF(F15="", IF($B$4="", 1140101, $B$4), F15),4,2),RIGHT(IF(F15="", IF($B$4="", 1140101, $B$4), F15),2))+1), "mm/dd") &amp; "~" &amp; TEXT(IF($B$5="歸買方", DATE(1911+LEFT(IF($B$4="", 1140101, $B$4),3),MID(IF($B$4="", 1140101, $B$4),4,2),RIGHT(IF($B$4="", 1140101, $B$4),2)), DATE(1911+LEFT(IF($B$4="", 1140101, $B$4),3),MID(IF($B$4="", 1140101, $B$4),4,2),RIGHT(IF($B$4="", 1140101, $B$4),2))+1)-1, "mm/dd") &amp; " 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DATE(1911+LEFT(IF(F15="", IF($B$4="", 1140101, $B$4), F15),3),MID(IF(F15="", IF($B$4="", 1140101, $B$4), F15),4,2),RIGHT(IF(F15="", IF($B$4="", 1140101, $B$4), F15),2))) - DATE(YEAR(DATE(1911+LEFT(IF($B$4="", 1140101, $B$4),3),MID(IF($B$4="", 1140101, $B$4),4,2),RIGHT(IF($B$4="", 1140101, $B$4),2))),MONTH(DATE(1911+LEFT(IF($B$4="", 1140101, $B$4),3),MID(IF($B$4="", 1140101, $B$4),4,2),RIGHT(IF($B$4="", 1140101, $B$4),2))),1) + 1) &amp; "天)" &amp; CHAR(10) &amp; "$" &amp; TEXT(D15, "#,##0") &amp; "×("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DATE(1911+LEFT(IF(F15="", IF($B$4="", 1140101, $B$4), F15),3),MID(IF(F15="", IF($B$4="", 1140101, $B$4), F15),4,2),RIGHT(IF(F15="", IF($B$4="", 1140101, $B$4), F15),2))) - DATE(YEAR(DATE(1911+LEFT(IF($B$4="", 1140101, $B$4),3),MID(IF($B$4="", 1140101, $B$4),4,2),RIGHT(IF($B$4="", 1140101, $B$4),2))),MONTH(DATE(1911+LEFT(IF($B$4="", 1140101, $B$4),3),MID(IF($B$4="", 1140101, $B$4),4,2),RIGHT(IF($B$4="", 1140101, $B$4),2))),1) + 1) &amp; "/" &amp; DAY(EOMONTH(DATE(1911+LEFT(IF($B$4="", 1140101, $B$4),3),MID(IF($B$4="", 1140101, $B$4),4,2),RIGHT(IF($B$4="", 1140101, $B$4),2)),0)) &amp; ")", ""), "")</f>
        <v/>
      </c>
      <c r="J15" s="23">
        <f>IF(AND(D15&lt;&gt;"", F15&lt;&gt;""),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DATE(1911+LEFT(IF(F15="", IF($B$4="", 1140101, $B$4), F15),3),MID(IF(F15="", IF($B$4="", 1140101, $B$4), F15),4,2),RIGHT(IF(F15="", IF($B$4="", 1140101, $B$4), F15),2))) - DATE(YEAR(DATE(1911+LEFT(IF($B$4="", 1140101, $B$4),3),MID(IF($B$4="", 1140101, $B$4),4,2),RIGHT(IF($B$4="", 1140101, $B$4),2))),MONTH(DATE(1911+LEFT(IF($B$4="", 1140101, $B$4),3),MID(IF($B$4="", 1140101, $B$4),4,2),RIGHT(IF($B$4="", 1140101, $B$4),2))),1) + 1)&gt;0, ROUND(D15/DAY(EOMONTH(DATE(1911+LEFT(IF($B$4="", 1140101, $B$4),3),MID(IF($B$4="", 1140101, $B$4),4,2),RIGHT(IF($B$4="", 1140101, $B$4),2)),0))*MAX(0,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DATE(1911+LEFT(IF(F15="", IF($B$4="", 1140101, $B$4), F15),3),MID(IF(F15="", IF($B$4="", 1140101, $B$4), F15),4,2),RIGHT(IF(F15="", IF($B$4="", 1140101, $B$4), F15),2))) - DATE(YEAR(DATE(1911+LEFT(IF($B$4="", 1140101, $B$4),3),MID(IF($B$4="", 1140101, $B$4),4,2),RIGHT(IF($B$4="", 1140101, $B$4),2))),MONTH(DATE(1911+LEFT(IF($B$4="", 1140101, $B$4),3),MID(IF($B$4="", 1140101, $B$4),4,2),RIGHT(IF($B$4="", 1140101, $B$4),2))),1) + 1), 0), 0), "")</f>
        <v/>
      </c>
    </row>
    <row r="16" ht="35" customHeight="1">
      <c r="A16" s="16" t="inlineStr"/>
      <c r="B16" s="17" t="inlineStr"/>
      <c r="C16" s="17" t="inlineStr"/>
      <c r="D16" s="18" t="inlineStr"/>
      <c r="E16" s="18" t="inlineStr"/>
      <c r="F16" s="19" t="inlineStr"/>
      <c r="G16" s="20">
        <f>IF(AND(D16&lt;&gt;"", F16&lt;&gt;""), IF(MAX(0, DATE(1911+LEFT(IF(F16="", IF($B$4="", 1140101, $B$4), F16),3),MID(IF(F16="", IF($B$4="", 1140101, $B$4), F16),4,2),RIGHT(IF(F16="", IF($B$4="", 1140101, $B$4), F16),2))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TEXT(DATE(1911+LEFT(IF(F16="", IF($B$4="", 1140101, $B$4), F16),3),MID(IF(F16="", IF($B$4="", 1140101, $B$4), F16),4,2),RIGHT(IF(F16="", IF($B$4="", 1140101, $B$4), F16),2)), "mm/dd") &amp; " (" &amp; MAX(0, DATE(1911+LEFT(IF(F16="", IF($B$4="", 1140101, $B$4), F16),3),MID(IF(F16="", IF($B$4="", 1140101, $B$4), F16),4,2),RIGHT(IF(F16="", IF($B$4="", 1140101, $B$4), F16),2))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"天)" &amp; CHAR(10) &amp; "$" &amp; TEXT(D16, "#,##0") &amp; "×(" &amp; MAX(0, DATE(1911+LEFT(IF(F16="", IF($B$4="", 1140101, $B$4), F16),3),MID(IF(F16="", IF($B$4="", 1140101, $B$4), F16),4,2),RIGHT(IF(F16="", IF($B$4="", 1140101, $B$4), F16),2))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"/" &amp; DAY(EOMONTH(DATE(1911+LEFT(IF($B$4="", 1140101, $B$4),3),MID(IF($B$4="", 1140101, $B$4),4,2),RIGHT(IF($B$4="", 1140101, $B$4),2)),0)) &amp; ")", ""), "")</f>
        <v/>
      </c>
      <c r="H16" s="21">
        <f>IF(AND(D16&lt;&gt;"", F16&lt;&gt;""), IF(MAX(0, DATE(1911+LEFT(IF(F16="", IF($B$4="", 1140101, $B$4), F16),3),MID(IF(F16="", IF($B$4="", 1140101, $B$4), F16),4,2),RIGHT(IF(F16="", IF($B$4="", 1140101, $B$4), F16),2))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ROUND(D16/DAY(EOMONTH(DATE(1911+LEFT(IF($B$4="", 1140101, $B$4),3),MID(IF($B$4="", 1140101, $B$4),4,2),RIGHT(IF($B$4="", 1140101, $B$4),2)),0))*MAX(0, DATE(1911+LEFT(IF(F16="", IF($B$4="", 1140101, $B$4), F16),3),MID(IF(F16="", IF($B$4="", 1140101, $B$4), F16),4,2),RIGHT(IF(F16="", IF($B$4="", 1140101, $B$4), F16),2)) - IF($B$5="歸買方", DATE(1911+LEFT(IF($B$4="", 1140101, $B$4),3),MID(IF($B$4="", 1140101, $B$4),4,2),RIGHT(IF($B$4="", 1140101, $B$4),2)), DATE(1911+LEFT(IF($B$4="", 1140101, $B$4),3),MID(IF($B$4="", 1140101, $B$4),4,2),RIGHT(IF($B$4="", 1140101, $B$4),2))+1) + 1), 0), 0), "")</f>
        <v/>
      </c>
      <c r="I16" s="22">
        <f>IF(AND(D16&lt;&gt;"", F16&lt;&gt;""),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DATE(1911+LEFT(IF(F16="", IF($B$4="", 1140101, $B$4), F16),3),MID(IF(F16="", IF($B$4="", 1140101, $B$4), F16),4,2),RIGHT(IF(F16="", IF($B$4="", 1140101, $B$4), F16),2))) - DATE(YEAR(DATE(1911+LEFT(IF($B$4="", 1140101, $B$4),3),MID(IF($B$4="", 1140101, $B$4),4,2),RIGHT(IF($B$4="", 1140101, $B$4),2))),MONTH(DATE(1911+LEFT(IF($B$4="", 1140101, $B$4),3),MID(IF($B$4="", 1140101, $B$4),4,2),RIGHT(IF($B$4="", 1140101, $B$4),2))),1) + 1)&gt;0, TEXT(MAX(DATE(YEAR(DATE(1911+LEFT(IF($B$4="", 1140101, $B$4),3),MID(IF($B$4="", 1140101, $B$4),4,2),RIGHT(IF($B$4="", 1140101, $B$4),2))),MONTH(DATE(1911+LEFT(IF($B$4="", 1140101, $B$4),3),MID(IF($B$4="", 1140101, $B$4),4,2),RIGHT(IF($B$4="", 1140101, $B$4),2))),1), DATE(1911+LEFT(IF(F16="", IF($B$4="", 1140101, $B$4), F16),3),MID(IF(F16="", IF($B$4="", 1140101, $B$4), F16),4,2),RIGHT(IF(F16="", IF($B$4="", 1140101, $B$4), F16),2))+1), "mm/dd") &amp; "~" &amp; TEXT(IF($B$5="歸買方", DATE(1911+LEFT(IF($B$4="", 1140101, $B$4),3),MID(IF($B$4="", 1140101, $B$4),4,2),RIGHT(IF($B$4="", 1140101, $B$4),2)), DATE(1911+LEFT(IF($B$4="", 1140101, $B$4),3),MID(IF($B$4="", 1140101, $B$4),4,2),RIGHT(IF($B$4="", 1140101, $B$4),2))+1)-1, "mm/dd") &amp; " 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DATE(1911+LEFT(IF(F16="", IF($B$4="", 1140101, $B$4), F16),3),MID(IF(F16="", IF($B$4="", 1140101, $B$4), F16),4,2),RIGHT(IF(F16="", IF($B$4="", 1140101, $B$4), F16),2))) - DATE(YEAR(DATE(1911+LEFT(IF($B$4="", 1140101, $B$4),3),MID(IF($B$4="", 1140101, $B$4),4,2),RIGHT(IF($B$4="", 1140101, $B$4),2))),MONTH(DATE(1911+LEFT(IF($B$4="", 1140101, $B$4),3),MID(IF($B$4="", 1140101, $B$4),4,2),RIGHT(IF($B$4="", 1140101, $B$4),2))),1) + 1) &amp; "天)" &amp; CHAR(10) &amp; "$" &amp; TEXT(D16, "#,##0") &amp; "×("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DATE(1911+LEFT(IF(F16="", IF($B$4="", 1140101, $B$4), F16),3),MID(IF(F16="", IF($B$4="", 1140101, $B$4), F16),4,2),RIGHT(IF(F16="", IF($B$4="", 1140101, $B$4), F16),2))) - DATE(YEAR(DATE(1911+LEFT(IF($B$4="", 1140101, $B$4),3),MID(IF($B$4="", 1140101, $B$4),4,2),RIGHT(IF($B$4="", 1140101, $B$4),2))),MONTH(DATE(1911+LEFT(IF($B$4="", 1140101, $B$4),3),MID(IF($B$4="", 1140101, $B$4),4,2),RIGHT(IF($B$4="", 1140101, $B$4),2))),1) + 1) &amp; "/" &amp; DAY(EOMONTH(DATE(1911+LEFT(IF($B$4="", 1140101, $B$4),3),MID(IF($B$4="", 1140101, $B$4),4,2),RIGHT(IF($B$4="", 1140101, $B$4),2)),0)) &amp; ")", ""), "")</f>
        <v/>
      </c>
      <c r="J16" s="23">
        <f>IF(AND(D16&lt;&gt;"", F16&lt;&gt;""),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DATE(1911+LEFT(IF(F16="", IF($B$4="", 1140101, $B$4), F16),3),MID(IF(F16="", IF($B$4="", 1140101, $B$4), F16),4,2),RIGHT(IF(F16="", IF($B$4="", 1140101, $B$4), F16),2))) - DATE(YEAR(DATE(1911+LEFT(IF($B$4="", 1140101, $B$4),3),MID(IF($B$4="", 1140101, $B$4),4,2),RIGHT(IF($B$4="", 1140101, $B$4),2))),MONTH(DATE(1911+LEFT(IF($B$4="", 1140101, $B$4),3),MID(IF($B$4="", 1140101, $B$4),4,2),RIGHT(IF($B$4="", 1140101, $B$4),2))),1) + 1)&gt;0, ROUND(D16/DAY(EOMONTH(DATE(1911+LEFT(IF($B$4="", 1140101, $B$4),3),MID(IF($B$4="", 1140101, $B$4),4,2),RIGHT(IF($B$4="", 1140101, $B$4),2)),0))*MAX(0,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DATE(1911+LEFT(IF(F16="", IF($B$4="", 1140101, $B$4), F16),3),MID(IF(F16="", IF($B$4="", 1140101, $B$4), F16),4,2),RIGHT(IF(F16="", IF($B$4="", 1140101, $B$4), F16),2))) - DATE(YEAR(DATE(1911+LEFT(IF($B$4="", 1140101, $B$4),3),MID(IF($B$4="", 1140101, $B$4),4,2),RIGHT(IF($B$4="", 1140101, $B$4),2))),MONTH(DATE(1911+LEFT(IF($B$4="", 1140101, $B$4),3),MID(IF($B$4="", 1140101, $B$4),4,2),RIGHT(IF($B$4="", 1140101, $B$4),2))),1) + 1), 0), 0), "")</f>
        <v/>
      </c>
    </row>
    <row r="17" ht="35" customHeight="1">
      <c r="A17" s="16" t="inlineStr"/>
      <c r="B17" s="17" t="inlineStr"/>
      <c r="C17" s="17" t="inlineStr"/>
      <c r="D17" s="18" t="inlineStr"/>
      <c r="E17" s="18" t="inlineStr"/>
      <c r="F17" s="19" t="inlineStr"/>
      <c r="G17" s="20">
        <f>IF(AND(D17&lt;&gt;"", F17&lt;&gt;""), IF(MAX(0, DATE(1911+LEFT(IF(F17="", IF($B$4="", 1140101, $B$4), F17),3),MID(IF(F17="", IF($B$4="", 1140101, $B$4), F17),4,2),RIGHT(IF(F17="", IF($B$4="", 1140101, $B$4), F17),2))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TEXT(DATE(1911+LEFT(IF(F17="", IF($B$4="", 1140101, $B$4), F17),3),MID(IF(F17="", IF($B$4="", 1140101, $B$4), F17),4,2),RIGHT(IF(F17="", IF($B$4="", 1140101, $B$4), F17),2)), "mm/dd") &amp; " (" &amp; MAX(0, DATE(1911+LEFT(IF(F17="", IF($B$4="", 1140101, $B$4), F17),3),MID(IF(F17="", IF($B$4="", 1140101, $B$4), F17),4,2),RIGHT(IF(F17="", IF($B$4="", 1140101, $B$4), F17),2))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"天)" &amp; CHAR(10) &amp; "$" &amp; TEXT(D17, "#,##0") &amp; "×(" &amp; MAX(0, DATE(1911+LEFT(IF(F17="", IF($B$4="", 1140101, $B$4), F17),3),MID(IF(F17="", IF($B$4="", 1140101, $B$4), F17),4,2),RIGHT(IF(F17="", IF($B$4="", 1140101, $B$4), F17),2))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"/" &amp; DAY(EOMONTH(DATE(1911+LEFT(IF($B$4="", 1140101, $B$4),3),MID(IF($B$4="", 1140101, $B$4),4,2),RIGHT(IF($B$4="", 1140101, $B$4),2)),0)) &amp; ")", ""), "")</f>
        <v/>
      </c>
      <c r="H17" s="21">
        <f>IF(AND(D17&lt;&gt;"", F17&lt;&gt;""), IF(MAX(0, DATE(1911+LEFT(IF(F17="", IF($B$4="", 1140101, $B$4), F17),3),MID(IF(F17="", IF($B$4="", 1140101, $B$4), F17),4,2),RIGHT(IF(F17="", IF($B$4="", 1140101, $B$4), F17),2))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ROUND(D17/DAY(EOMONTH(DATE(1911+LEFT(IF($B$4="", 1140101, $B$4),3),MID(IF($B$4="", 1140101, $B$4),4,2),RIGHT(IF($B$4="", 1140101, $B$4),2)),0))*MAX(0, DATE(1911+LEFT(IF(F17="", IF($B$4="", 1140101, $B$4), F17),3),MID(IF(F17="", IF($B$4="", 1140101, $B$4), F17),4,2),RIGHT(IF(F17="", IF($B$4="", 1140101, $B$4), F17),2)) - IF($B$5="歸買方", DATE(1911+LEFT(IF($B$4="", 1140101, $B$4),3),MID(IF($B$4="", 1140101, $B$4),4,2),RIGHT(IF($B$4="", 1140101, $B$4),2)), DATE(1911+LEFT(IF($B$4="", 1140101, $B$4),3),MID(IF($B$4="", 1140101, $B$4),4,2),RIGHT(IF($B$4="", 1140101, $B$4),2))+1) + 1), 0), 0), "")</f>
        <v/>
      </c>
      <c r="I17" s="22">
        <f>IF(AND(D17&lt;&gt;"", F17&lt;&gt;""),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DATE(1911+LEFT(IF(F17="", IF($B$4="", 1140101, $B$4), F17),3),MID(IF(F17="", IF($B$4="", 1140101, $B$4), F17),4,2),RIGHT(IF(F17="", IF($B$4="", 1140101, $B$4), F17),2))) - DATE(YEAR(DATE(1911+LEFT(IF($B$4="", 1140101, $B$4),3),MID(IF($B$4="", 1140101, $B$4),4,2),RIGHT(IF($B$4="", 1140101, $B$4),2))),MONTH(DATE(1911+LEFT(IF($B$4="", 1140101, $B$4),3),MID(IF($B$4="", 1140101, $B$4),4,2),RIGHT(IF($B$4="", 1140101, $B$4),2))),1) + 1)&gt;0, TEXT(MAX(DATE(YEAR(DATE(1911+LEFT(IF($B$4="", 1140101, $B$4),3),MID(IF($B$4="", 1140101, $B$4),4,2),RIGHT(IF($B$4="", 1140101, $B$4),2))),MONTH(DATE(1911+LEFT(IF($B$4="", 1140101, $B$4),3),MID(IF($B$4="", 1140101, $B$4),4,2),RIGHT(IF($B$4="", 1140101, $B$4),2))),1), DATE(1911+LEFT(IF(F17="", IF($B$4="", 1140101, $B$4), F17),3),MID(IF(F17="", IF($B$4="", 1140101, $B$4), F17),4,2),RIGHT(IF(F17="", IF($B$4="", 1140101, $B$4), F17),2))+1), "mm/dd") &amp; "~" &amp; TEXT(IF($B$5="歸買方", DATE(1911+LEFT(IF($B$4="", 1140101, $B$4),3),MID(IF($B$4="", 1140101, $B$4),4,2),RIGHT(IF($B$4="", 1140101, $B$4),2)), DATE(1911+LEFT(IF($B$4="", 1140101, $B$4),3),MID(IF($B$4="", 1140101, $B$4),4,2),RIGHT(IF($B$4="", 1140101, $B$4),2))+1)-1, "mm/dd") &amp; " 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DATE(1911+LEFT(IF(F17="", IF($B$4="", 1140101, $B$4), F17),3),MID(IF(F17="", IF($B$4="", 1140101, $B$4), F17),4,2),RIGHT(IF(F17="", IF($B$4="", 1140101, $B$4), F17),2))) - DATE(YEAR(DATE(1911+LEFT(IF($B$4="", 1140101, $B$4),3),MID(IF($B$4="", 1140101, $B$4),4,2),RIGHT(IF($B$4="", 1140101, $B$4),2))),MONTH(DATE(1911+LEFT(IF($B$4="", 1140101, $B$4),3),MID(IF($B$4="", 1140101, $B$4),4,2),RIGHT(IF($B$4="", 1140101, $B$4),2))),1) + 1) &amp; "天)" &amp; CHAR(10) &amp; "$" &amp; TEXT(D17, "#,##0") &amp; "×("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DATE(1911+LEFT(IF(F17="", IF($B$4="", 1140101, $B$4), F17),3),MID(IF(F17="", IF($B$4="", 1140101, $B$4), F17),4,2),RIGHT(IF(F17="", IF($B$4="", 1140101, $B$4), F17),2))) - DATE(YEAR(DATE(1911+LEFT(IF($B$4="", 1140101, $B$4),3),MID(IF($B$4="", 1140101, $B$4),4,2),RIGHT(IF($B$4="", 1140101, $B$4),2))),MONTH(DATE(1911+LEFT(IF($B$4="", 1140101, $B$4),3),MID(IF($B$4="", 1140101, $B$4),4,2),RIGHT(IF($B$4="", 1140101, $B$4),2))),1) + 1) &amp; "/" &amp; DAY(EOMONTH(DATE(1911+LEFT(IF($B$4="", 1140101, $B$4),3),MID(IF($B$4="", 1140101, $B$4),4,2),RIGHT(IF($B$4="", 1140101, $B$4),2)),0)) &amp; ")", ""), "")</f>
        <v/>
      </c>
      <c r="J17" s="23">
        <f>IF(AND(D17&lt;&gt;"", F17&lt;&gt;""),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DATE(1911+LEFT(IF(F17="", IF($B$4="", 1140101, $B$4), F17),3),MID(IF(F17="", IF($B$4="", 1140101, $B$4), F17),4,2),RIGHT(IF(F17="", IF($B$4="", 1140101, $B$4), F17),2))) - DATE(YEAR(DATE(1911+LEFT(IF($B$4="", 1140101, $B$4),3),MID(IF($B$4="", 1140101, $B$4),4,2),RIGHT(IF($B$4="", 1140101, $B$4),2))),MONTH(DATE(1911+LEFT(IF($B$4="", 1140101, $B$4),3),MID(IF($B$4="", 1140101, $B$4),4,2),RIGHT(IF($B$4="", 1140101, $B$4),2))),1) + 1)&gt;0, ROUND(D17/DAY(EOMONTH(DATE(1911+LEFT(IF($B$4="", 1140101, $B$4),3),MID(IF($B$4="", 1140101, $B$4),4,2),RIGHT(IF($B$4="", 1140101, $B$4),2)),0))*MAX(0,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DATE(1911+LEFT(IF(F17="", IF($B$4="", 1140101, $B$4), F17),3),MID(IF(F17="", IF($B$4="", 1140101, $B$4), F17),4,2),RIGHT(IF(F17="", IF($B$4="", 1140101, $B$4), F17),2))) - DATE(YEAR(DATE(1911+LEFT(IF($B$4="", 1140101, $B$4),3),MID(IF($B$4="", 1140101, $B$4),4,2),RIGHT(IF($B$4="", 1140101, $B$4),2))),MONTH(DATE(1911+LEFT(IF($B$4="", 1140101, $B$4),3),MID(IF($B$4="", 1140101, $B$4),4,2),RIGHT(IF($B$4="", 1140101, $B$4),2))),1) + 1), 0), 0), "")</f>
        <v/>
      </c>
    </row>
    <row r="18" ht="35" customHeight="1">
      <c r="A18" s="16" t="inlineStr"/>
      <c r="B18" s="17" t="inlineStr"/>
      <c r="C18" s="17" t="inlineStr"/>
      <c r="D18" s="18" t="inlineStr"/>
      <c r="E18" s="18" t="inlineStr"/>
      <c r="F18" s="19" t="inlineStr"/>
      <c r="G18" s="20">
        <f>IF(AND(D18&lt;&gt;"", F18&lt;&gt;""), IF(MAX(0, DATE(1911+LEFT(IF(F18="", IF($B$4="", 1140101, $B$4), F18),3),MID(IF(F18="", IF($B$4="", 1140101, $B$4), F18),4,2),RIGHT(IF(F18="", IF($B$4="", 1140101, $B$4), F18),2))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TEXT(DATE(1911+LEFT(IF(F18="", IF($B$4="", 1140101, $B$4), F18),3),MID(IF(F18="", IF($B$4="", 1140101, $B$4), F18),4,2),RIGHT(IF(F18="", IF($B$4="", 1140101, $B$4), F18),2)), "mm/dd") &amp; " (" &amp; MAX(0, DATE(1911+LEFT(IF(F18="", IF($B$4="", 1140101, $B$4), F18),3),MID(IF(F18="", IF($B$4="", 1140101, $B$4), F18),4,2),RIGHT(IF(F18="", IF($B$4="", 1140101, $B$4), F18),2))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"天)" &amp; CHAR(10) &amp; "$" &amp; TEXT(D18, "#,##0") &amp; "×(" &amp; MAX(0, DATE(1911+LEFT(IF(F18="", IF($B$4="", 1140101, $B$4), F18),3),MID(IF(F18="", IF($B$4="", 1140101, $B$4), F18),4,2),RIGHT(IF(F18="", IF($B$4="", 1140101, $B$4), F18),2))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"/" &amp; DAY(EOMONTH(DATE(1911+LEFT(IF($B$4="", 1140101, $B$4),3),MID(IF($B$4="", 1140101, $B$4),4,2),RIGHT(IF($B$4="", 1140101, $B$4),2)),0)) &amp; ")", ""), "")</f>
        <v/>
      </c>
      <c r="H18" s="21">
        <f>IF(AND(D18&lt;&gt;"", F18&lt;&gt;""), IF(MAX(0, DATE(1911+LEFT(IF(F18="", IF($B$4="", 1140101, $B$4), F18),3),MID(IF(F18="", IF($B$4="", 1140101, $B$4), F18),4,2),RIGHT(IF(F18="", IF($B$4="", 1140101, $B$4), F18),2))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ROUND(D18/DAY(EOMONTH(DATE(1911+LEFT(IF($B$4="", 1140101, $B$4),3),MID(IF($B$4="", 1140101, $B$4),4,2),RIGHT(IF($B$4="", 1140101, $B$4),2)),0))*MAX(0, DATE(1911+LEFT(IF(F18="", IF($B$4="", 1140101, $B$4), F18),3),MID(IF(F18="", IF($B$4="", 1140101, $B$4), F18),4,2),RIGHT(IF(F18="", IF($B$4="", 1140101, $B$4), F18),2)) - IF($B$5="歸買方", DATE(1911+LEFT(IF($B$4="", 1140101, $B$4),3),MID(IF($B$4="", 1140101, $B$4),4,2),RIGHT(IF($B$4="", 1140101, $B$4),2)), DATE(1911+LEFT(IF($B$4="", 1140101, $B$4),3),MID(IF($B$4="", 1140101, $B$4),4,2),RIGHT(IF($B$4="", 1140101, $B$4),2))+1) + 1), 0), 0), "")</f>
        <v/>
      </c>
      <c r="I18" s="22">
        <f>IF(AND(D18&lt;&gt;"", F18&lt;&gt;""),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DATE(1911+LEFT(IF(F18="", IF($B$4="", 1140101, $B$4), F18),3),MID(IF(F18="", IF($B$4="", 1140101, $B$4), F18),4,2),RIGHT(IF(F18="", IF($B$4="", 1140101, $B$4), F18),2))) - DATE(YEAR(DATE(1911+LEFT(IF($B$4="", 1140101, $B$4),3),MID(IF($B$4="", 1140101, $B$4),4,2),RIGHT(IF($B$4="", 1140101, $B$4),2))),MONTH(DATE(1911+LEFT(IF($B$4="", 1140101, $B$4),3),MID(IF($B$4="", 1140101, $B$4),4,2),RIGHT(IF($B$4="", 1140101, $B$4),2))),1) + 1)&gt;0, TEXT(MAX(DATE(YEAR(DATE(1911+LEFT(IF($B$4="", 1140101, $B$4),3),MID(IF($B$4="", 1140101, $B$4),4,2),RIGHT(IF($B$4="", 1140101, $B$4),2))),MONTH(DATE(1911+LEFT(IF($B$4="", 1140101, $B$4),3),MID(IF($B$4="", 1140101, $B$4),4,2),RIGHT(IF($B$4="", 1140101, $B$4),2))),1), DATE(1911+LEFT(IF(F18="", IF($B$4="", 1140101, $B$4), F18),3),MID(IF(F18="", IF($B$4="", 1140101, $B$4), F18),4,2),RIGHT(IF(F18="", IF($B$4="", 1140101, $B$4), F18),2))+1), "mm/dd") &amp; "~" &amp; TEXT(IF($B$5="歸買方", DATE(1911+LEFT(IF($B$4="", 1140101, $B$4),3),MID(IF($B$4="", 1140101, $B$4),4,2),RIGHT(IF($B$4="", 1140101, $B$4),2)), DATE(1911+LEFT(IF($B$4="", 1140101, $B$4),3),MID(IF($B$4="", 1140101, $B$4),4,2),RIGHT(IF($B$4="", 1140101, $B$4),2))+1)-1, "mm/dd") &amp; " 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DATE(1911+LEFT(IF(F18="", IF($B$4="", 1140101, $B$4), F18),3),MID(IF(F18="", IF($B$4="", 1140101, $B$4), F18),4,2),RIGHT(IF(F18="", IF($B$4="", 1140101, $B$4), F18),2))) - DATE(YEAR(DATE(1911+LEFT(IF($B$4="", 1140101, $B$4),3),MID(IF($B$4="", 1140101, $B$4),4,2),RIGHT(IF($B$4="", 1140101, $B$4),2))),MONTH(DATE(1911+LEFT(IF($B$4="", 1140101, $B$4),3),MID(IF($B$4="", 1140101, $B$4),4,2),RIGHT(IF($B$4="", 1140101, $B$4),2))),1) + 1) &amp; "天)" &amp; CHAR(10) &amp; "$" &amp; TEXT(D18, "#,##0") &amp; "×("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DATE(1911+LEFT(IF(F18="", IF($B$4="", 1140101, $B$4), F18),3),MID(IF(F18="", IF($B$4="", 1140101, $B$4), F18),4,2),RIGHT(IF(F18="", IF($B$4="", 1140101, $B$4), F18),2))) - DATE(YEAR(DATE(1911+LEFT(IF($B$4="", 1140101, $B$4),3),MID(IF($B$4="", 1140101, $B$4),4,2),RIGHT(IF($B$4="", 1140101, $B$4),2))),MONTH(DATE(1911+LEFT(IF($B$4="", 1140101, $B$4),3),MID(IF($B$4="", 1140101, $B$4),4,2),RIGHT(IF($B$4="", 1140101, $B$4),2))),1) + 1) &amp; "/" &amp; DAY(EOMONTH(DATE(1911+LEFT(IF($B$4="", 1140101, $B$4),3),MID(IF($B$4="", 1140101, $B$4),4,2),RIGHT(IF($B$4="", 1140101, $B$4),2)),0)) &amp; ")", ""), "")</f>
        <v/>
      </c>
      <c r="J18" s="23">
        <f>IF(AND(D18&lt;&gt;"", F18&lt;&gt;""),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DATE(1911+LEFT(IF(F18="", IF($B$4="", 1140101, $B$4), F18),3),MID(IF(F18="", IF($B$4="", 1140101, $B$4), F18),4,2),RIGHT(IF(F18="", IF($B$4="", 1140101, $B$4), F18),2))) - DATE(YEAR(DATE(1911+LEFT(IF($B$4="", 1140101, $B$4),3),MID(IF($B$4="", 1140101, $B$4),4,2),RIGHT(IF($B$4="", 1140101, $B$4),2))),MONTH(DATE(1911+LEFT(IF($B$4="", 1140101, $B$4),3),MID(IF($B$4="", 1140101, $B$4),4,2),RIGHT(IF($B$4="", 1140101, $B$4),2))),1) + 1)&gt;0, ROUND(D18/DAY(EOMONTH(DATE(1911+LEFT(IF($B$4="", 1140101, $B$4),3),MID(IF($B$4="", 1140101, $B$4),4,2),RIGHT(IF($B$4="", 1140101, $B$4),2)),0))*MAX(0,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DATE(1911+LEFT(IF(F18="", IF($B$4="", 1140101, $B$4), F18),3),MID(IF(F18="", IF($B$4="", 1140101, $B$4), F18),4,2),RIGHT(IF(F18="", IF($B$4="", 1140101, $B$4), F18),2))) - DATE(YEAR(DATE(1911+LEFT(IF($B$4="", 1140101, $B$4),3),MID(IF($B$4="", 1140101, $B$4),4,2),RIGHT(IF($B$4="", 1140101, $B$4),2))),MONTH(DATE(1911+LEFT(IF($B$4="", 1140101, $B$4),3),MID(IF($B$4="", 1140101, $B$4),4,2),RIGHT(IF($B$4="", 1140101, $B$4),2))),1) + 1), 0), 0), "")</f>
        <v/>
      </c>
    </row>
    <row r="19" ht="35" customHeight="1">
      <c r="A19" s="16" t="inlineStr"/>
      <c r="B19" s="17" t="inlineStr"/>
      <c r="C19" s="17" t="inlineStr"/>
      <c r="D19" s="18" t="inlineStr"/>
      <c r="E19" s="18" t="inlineStr"/>
      <c r="F19" s="19" t="inlineStr"/>
      <c r="G19" s="20">
        <f>IF(AND(D19&lt;&gt;"", F19&lt;&gt;""), IF(MAX(0, DATE(1911+LEFT(IF(F19="", IF($B$4="", 1140101, $B$4), F19),3),MID(IF(F19="", IF($B$4="", 1140101, $B$4), F19),4,2),RIGHT(IF(F19="", IF($B$4="", 1140101, $B$4), F19),2))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TEXT(IF($B$5="歸買方", DATE(1911+LEFT(IF($B$4="", 1140101, $B$4),3),MID(IF($B$4="", 1140101, $B$4),4,2),RIGHT(IF($B$4="", 1140101, $B$4),2)), DATE(1911+LEFT(IF($B$4="", 1140101, $B$4),3),MID(IF($B$4="", 1140101, $B$4),4,2),RIGHT(IF($B$4="", 1140101, $B$4),2))+1), "mm/dd") &amp; "~" &amp; TEXT(DATE(1911+LEFT(IF(F19="", IF($B$4="", 1140101, $B$4), F19),3),MID(IF(F19="", IF($B$4="", 1140101, $B$4), F19),4,2),RIGHT(IF(F19="", IF($B$4="", 1140101, $B$4), F19),2)), "mm/dd") &amp; " (" &amp; MAX(0, DATE(1911+LEFT(IF(F19="", IF($B$4="", 1140101, $B$4), F19),3),MID(IF(F19="", IF($B$4="", 1140101, $B$4), F19),4,2),RIGHT(IF(F19="", IF($B$4="", 1140101, $B$4), F19),2))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"天)" &amp; CHAR(10) &amp; "$" &amp; TEXT(D19, "#,##0") &amp; "×(" &amp; MAX(0, DATE(1911+LEFT(IF(F19="", IF($B$4="", 1140101, $B$4), F19),3),MID(IF(F19="", IF($B$4="", 1140101, $B$4), F19),4,2),RIGHT(IF(F19="", IF($B$4="", 1140101, $B$4), F19),2)) - IF($B$5="歸買方", DATE(1911+LEFT(IF($B$4="", 1140101, $B$4),3),MID(IF($B$4="", 1140101, $B$4),4,2),RIGHT(IF($B$4="", 1140101, $B$4),2)), DATE(1911+LEFT(IF($B$4="", 1140101, $B$4),3),MID(IF($B$4="", 1140101, $B$4),4,2),RIGHT(IF($B$4="", 1140101, $B$4),2))+1) + 1) &amp; "/" &amp; DAY(EOMONTH(DATE(1911+LEFT(IF($B$4="", 1140101, $B$4),3),MID(IF($B$4="", 1140101, $B$4),4,2),RIGHT(IF($B$4="", 1140101, $B$4),2)),0)) &amp; ")", ""), "")</f>
        <v/>
      </c>
      <c r="H19" s="21">
        <f>IF(AND(D19&lt;&gt;"", F19&lt;&gt;""), IF(MAX(0, DATE(1911+LEFT(IF(F19="", IF($B$4="", 1140101, $B$4), F19),3),MID(IF(F19="", IF($B$4="", 1140101, $B$4), F19),4,2),RIGHT(IF(F19="", IF($B$4="", 1140101, $B$4), F19),2)) - IF($B$5="歸買方", DATE(1911+LEFT(IF($B$4="", 1140101, $B$4),3),MID(IF($B$4="", 1140101, $B$4),4,2),RIGHT(IF($B$4="", 1140101, $B$4),2)), DATE(1911+LEFT(IF($B$4="", 1140101, $B$4),3),MID(IF($B$4="", 1140101, $B$4),4,2),RIGHT(IF($B$4="", 1140101, $B$4),2))+1) + 1)&gt;0, ROUND(D19/DAY(EOMONTH(DATE(1911+LEFT(IF($B$4="", 1140101, $B$4),3),MID(IF($B$4="", 1140101, $B$4),4,2),RIGHT(IF($B$4="", 1140101, $B$4),2)),0))*MAX(0, DATE(1911+LEFT(IF(F19="", IF($B$4="", 1140101, $B$4), F19),3),MID(IF(F19="", IF($B$4="", 1140101, $B$4), F19),4,2),RIGHT(IF(F19="", IF($B$4="", 1140101, $B$4), F19),2)) - IF($B$5="歸買方", DATE(1911+LEFT(IF($B$4="", 1140101, $B$4),3),MID(IF($B$4="", 1140101, $B$4),4,2),RIGHT(IF($B$4="", 1140101, $B$4),2)), DATE(1911+LEFT(IF($B$4="", 1140101, $B$4),3),MID(IF($B$4="", 1140101, $B$4),4,2),RIGHT(IF($B$4="", 1140101, $B$4),2))+1) + 1), 0), 0), "")</f>
        <v/>
      </c>
      <c r="I19" s="22">
        <f>IF(AND(D19&lt;&gt;"", F19&lt;&gt;""),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DATE(1911+LEFT(IF(F19="", IF($B$4="", 1140101, $B$4), F19),3),MID(IF(F19="", IF($B$4="", 1140101, $B$4), F19),4,2),RIGHT(IF(F19="", IF($B$4="", 1140101, $B$4), F19),2))) - DATE(YEAR(DATE(1911+LEFT(IF($B$4="", 1140101, $B$4),3),MID(IF($B$4="", 1140101, $B$4),4,2),RIGHT(IF($B$4="", 1140101, $B$4),2))),MONTH(DATE(1911+LEFT(IF($B$4="", 1140101, $B$4),3),MID(IF($B$4="", 1140101, $B$4),4,2),RIGHT(IF($B$4="", 1140101, $B$4),2))),1) + 1)&gt;0, TEXT(MAX(DATE(YEAR(DATE(1911+LEFT(IF($B$4="", 1140101, $B$4),3),MID(IF($B$4="", 1140101, $B$4),4,2),RIGHT(IF($B$4="", 1140101, $B$4),2))),MONTH(DATE(1911+LEFT(IF($B$4="", 1140101, $B$4),3),MID(IF($B$4="", 1140101, $B$4),4,2),RIGHT(IF($B$4="", 1140101, $B$4),2))),1), DATE(1911+LEFT(IF(F19="", IF($B$4="", 1140101, $B$4), F19),3),MID(IF(F19="", IF($B$4="", 1140101, $B$4), F19),4,2),RIGHT(IF(F19="", IF($B$4="", 1140101, $B$4), F19),2))+1), "mm/dd") &amp; "~" &amp; TEXT(IF($B$5="歸買方", DATE(1911+LEFT(IF($B$4="", 1140101, $B$4),3),MID(IF($B$4="", 1140101, $B$4),4,2),RIGHT(IF($B$4="", 1140101, $B$4),2)), DATE(1911+LEFT(IF($B$4="", 1140101, $B$4),3),MID(IF($B$4="", 1140101, $B$4),4,2),RIGHT(IF($B$4="", 1140101, $B$4),2))+1)-1, "mm/dd") &amp; " 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DATE(1911+LEFT(IF(F19="", IF($B$4="", 1140101, $B$4), F19),3),MID(IF(F19="", IF($B$4="", 1140101, $B$4), F19),4,2),RIGHT(IF(F19="", IF($B$4="", 1140101, $B$4), F19),2))) - DATE(YEAR(DATE(1911+LEFT(IF($B$4="", 1140101, $B$4),3),MID(IF($B$4="", 1140101, $B$4),4,2),RIGHT(IF($B$4="", 1140101, $B$4),2))),MONTH(DATE(1911+LEFT(IF($B$4="", 1140101, $B$4),3),MID(IF($B$4="", 1140101, $B$4),4,2),RIGHT(IF($B$4="", 1140101, $B$4),2))),1) + 1) &amp; "天)" &amp; CHAR(10) &amp; "$" &amp; TEXT(D19, "#,##0") &amp; "×(" &amp; 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DATE(1911+LEFT(IF(F19="", IF($B$4="", 1140101, $B$4), F19),3),MID(IF(F19="", IF($B$4="", 1140101, $B$4), F19),4,2),RIGHT(IF(F19="", IF($B$4="", 1140101, $B$4), F19),2))) - DATE(YEAR(DATE(1911+LEFT(IF($B$4="", 1140101, $B$4),3),MID(IF($B$4="", 1140101, $B$4),4,2),RIGHT(IF($B$4="", 1140101, $B$4),2))),MONTH(DATE(1911+LEFT(IF($B$4="", 1140101, $B$4),3),MID(IF($B$4="", 1140101, $B$4),4,2),RIGHT(IF($B$4="", 1140101, $B$4),2))),1) + 1) &amp; "/" &amp; DAY(EOMONTH(DATE(1911+LEFT(IF($B$4="", 1140101, $B$4),3),MID(IF($B$4="", 1140101, $B$4),4,2),RIGHT(IF($B$4="", 1140101, $B$4),2)),0)) &amp; ")", ""), "")</f>
        <v/>
      </c>
      <c r="J19" s="23">
        <f>IF(AND(D19&lt;&gt;"", F19&lt;&gt;""), IF(MAX(0,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DATE(1911+LEFT(IF(F19="", IF($B$4="", 1140101, $B$4), F19),3),MID(IF(F19="", IF($B$4="", 1140101, $B$4), F19),4,2),RIGHT(IF(F19="", IF($B$4="", 1140101, $B$4), F19),2))) - DATE(YEAR(DATE(1911+LEFT(IF($B$4="", 1140101, $B$4),3),MID(IF($B$4="", 1140101, $B$4),4,2),RIGHT(IF($B$4="", 1140101, $B$4),2))),MONTH(DATE(1911+LEFT(IF($B$4="", 1140101, $B$4),3),MID(IF($B$4="", 1140101, $B$4),4,2),RIGHT(IF($B$4="", 1140101, $B$4),2))),1) + 1)&gt;0, ROUND(D19/DAY(EOMONTH(DATE(1911+LEFT(IF($B$4="", 1140101, $B$4),3),MID(IF($B$4="", 1140101, $B$4),4,2),RIGHT(IF($B$4="", 1140101, $B$4),2)),0))*MAX(0, IF($B$5="歸買方", DATE(1911+LEFT(IF($B$4="", 1140101, $B$4),3),MID(IF($B$4="", 1140101, $B$4),4,2),RIGHT(IF($B$4="", 1140101, $B$4),2)), DATE(1911+LEFT(IF($B$4="", 1140101, $B$4),3),MID(IF($B$4="", 1140101, $B$4),4,2),RIGHT(IF($B$4="", 1140101, $B$4),2))+1) - DATE(YEAR(DATE(1911+LEFT(IF($B$4="", 1140101, $B$4),3),MID(IF($B$4="", 1140101, $B$4),4,2),RIGHT(IF($B$4="", 1140101, $B$4),2))),MONTH(DATE(1911+LEFT(IF($B$4="", 1140101, $B$4),3),MID(IF($B$4="", 1140101, $B$4),4,2),RIGHT(IF($B$4="", 1140101, $B$4),2))),1) - MIN(EOMONTH(DATE(1911+LEFT(IF($B$4="", 1140101, $B$4),3),MID(IF($B$4="", 1140101, $B$4),4,2),RIGHT(IF($B$4="", 1140101, $B$4),2)),0), DATE(1911+LEFT(IF(F19="", IF($B$4="", 1140101, $B$4), F19),3),MID(IF(F19="", IF($B$4="", 1140101, $B$4), F19),4,2),RIGHT(IF(F19="", IF($B$4="", 1140101, $B$4), F19),2))) - DATE(YEAR(DATE(1911+LEFT(IF($B$4="", 1140101, $B$4),3),MID(IF($B$4="", 1140101, $B$4),4,2),RIGHT(IF($B$4="", 1140101, $B$4),2))),MONTH(DATE(1911+LEFT(IF($B$4="", 1140101, $B$4),3),MID(IF($B$4="", 1140101, $B$4),4,2),RIGHT(IF($B$4="", 1140101, $B$4),2))),1) + 1), 0), 0), "")</f>
        <v/>
      </c>
    </row>
    <row r="21" ht="30" customHeight="1">
      <c r="A21" s="24" t="inlineStr">
        <is>
          <t>賣方應付項目 (Debits)</t>
        </is>
      </c>
      <c r="F21" s="25" t="inlineStr">
        <is>
          <t>買方應付項目及費用 (Credits)</t>
        </is>
      </c>
    </row>
    <row r="22" ht="25" customHeight="1">
      <c r="A22" s="26" t="inlineStr">
        <is>
          <t>1. 押金移轉</t>
        </is>
      </c>
      <c r="D22" s="27">
        <f>SUM(E8:E19)</f>
        <v/>
      </c>
      <c r="F22" s="26" t="inlineStr">
        <is>
          <t>1. 買方補貼賣方 (短收租金)</t>
        </is>
      </c>
      <c r="J22" s="28">
        <f>SUM(J8:J19)</f>
        <v/>
      </c>
    </row>
    <row r="23" ht="25" customHeight="1">
      <c r="A23" s="26" t="inlineStr">
        <is>
          <t>2. 賣方補貼買方 (溢收租金)</t>
        </is>
      </c>
      <c r="D23" s="27">
        <f>SUM(H8:H19)</f>
        <v/>
      </c>
      <c r="F23" s="29" t="inlineStr">
        <is>
          <t>2. 機上盒保證金</t>
        </is>
      </c>
      <c r="J23" s="30" t="n">
        <v>0</v>
      </c>
    </row>
    <row r="24" ht="25" customHeight="1">
      <c r="A24" s="31" t="inlineStr">
        <is>
          <t>3. 其他費用 (1)</t>
        </is>
      </c>
      <c r="D24" s="32" t="n">
        <v>0</v>
      </c>
      <c r="F24" s="29" t="inlineStr">
        <is>
          <t>3. 有線電視費用</t>
        </is>
      </c>
      <c r="J24" s="30" t="n">
        <v>0</v>
      </c>
    </row>
    <row r="25" ht="25" customHeight="1">
      <c r="A25" s="31" t="inlineStr">
        <is>
          <t>4. 其他費用 (2)</t>
        </is>
      </c>
      <c r="D25" s="32" t="n">
        <v>0</v>
      </c>
      <c r="F25" s="29" t="inlineStr">
        <is>
          <t>4. 網路費用</t>
        </is>
      </c>
      <c r="J25" s="30" t="n">
        <v>0</v>
      </c>
    </row>
    <row r="26" ht="25" customHeight="1">
      <c r="A26" s="31" t="inlineStr">
        <is>
          <t>5. 其他費用 (3)</t>
        </is>
      </c>
      <c r="D26" s="32" t="n">
        <v>0</v>
      </c>
      <c r="F26" s="29" t="inlineStr">
        <is>
          <t>5. 監視器費用</t>
        </is>
      </c>
      <c r="J26" s="30" t="n">
        <v>0</v>
      </c>
    </row>
    <row r="27" ht="25" customHeight="1">
      <c r="A27" s="31" t="inlineStr">
        <is>
          <t>6. 其他費用 (4)</t>
        </is>
      </c>
      <c r="D27" s="32" t="n">
        <v>0</v>
      </c>
      <c r="F27" s="29" t="inlineStr">
        <is>
          <t>6. 寬頻押金</t>
        </is>
      </c>
      <c r="J27" s="30" t="n">
        <v>0</v>
      </c>
    </row>
    <row r="28" ht="25" customHeight="1">
      <c r="A28" s="33" t="inlineStr"/>
      <c r="D28" s="33" t="inlineStr"/>
      <c r="F28" s="31" t="inlineStr">
        <is>
          <t>7. 其他費用 (1)</t>
        </is>
      </c>
      <c r="J28" s="30" t="n">
        <v>0</v>
      </c>
    </row>
    <row r="29" ht="25" customHeight="1">
      <c r="A29" s="33" t="inlineStr"/>
      <c r="D29" s="33" t="inlineStr"/>
      <c r="F29" s="31" t="inlineStr">
        <is>
          <t>8. 其他費用 (2)</t>
        </is>
      </c>
      <c r="J29" s="30" t="n">
        <v>0</v>
      </c>
    </row>
    <row r="31" ht="50" customHeight="1">
      <c r="A31" s="34">
        <f>IF(K31&gt;0, "最終結算：賣方應找補買方 $" &amp; TEXT(K31, "#,##0"), IF(K31&lt;0, "最終結算：買方應找補賣方 $" &amp; TEXT(ABS(K31), "#,##0"), "最終結算：雙方無須找補"))</f>
        <v/>
      </c>
      <c r="K31">
        <f>(D22+D23+D24+D25+D26+D27) - (J22+J23+J24+J25+J26+J27+J28+J29)</f>
        <v/>
      </c>
    </row>
    <row r="33" ht="50" customHeight="1">
      <c r="A33" s="35" t="inlineStr">
        <is>
          <t>買方簽章：____________________</t>
        </is>
      </c>
      <c r="F33" s="35" t="inlineStr">
        <is>
          <t>賣方簽章：____________________</t>
        </is>
      </c>
    </row>
    <row r="35">
      <c r="A35" s="36" t="inlineStr">
        <is>
          <t>備註 / Remarks：</t>
        </is>
      </c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mergeCells count="27">
    <mergeCell ref="A25:C25"/>
    <mergeCell ref="D4:J4"/>
    <mergeCell ref="F27:I27"/>
    <mergeCell ref="F33:H33"/>
    <mergeCell ref="A27:C27"/>
    <mergeCell ref="A26:C26"/>
    <mergeCell ref="A33:C33"/>
    <mergeCell ref="F21:J21"/>
    <mergeCell ref="A31:J31"/>
    <mergeCell ref="A23:C23"/>
    <mergeCell ref="A35:J39"/>
    <mergeCell ref="A22:C22"/>
    <mergeCell ref="C6:F6"/>
    <mergeCell ref="F29:I29"/>
    <mergeCell ref="G2:J2"/>
    <mergeCell ref="F25:I25"/>
    <mergeCell ref="A1:J1"/>
    <mergeCell ref="F28:I28"/>
    <mergeCell ref="F24:I24"/>
    <mergeCell ref="B2:E2"/>
    <mergeCell ref="A24:C24"/>
    <mergeCell ref="B3:J3"/>
    <mergeCell ref="F26:I26"/>
    <mergeCell ref="C5:E5"/>
    <mergeCell ref="A21:D21"/>
    <mergeCell ref="F23:I23"/>
    <mergeCell ref="F22:I22"/>
  </mergeCells>
  <dataValidations count="1">
    <dataValidation sqref="B5" showDropDown="0" showInputMessage="0" showErrorMessage="0" allowBlank="0" type="list">
      <formula1>"歸買方,歸賣方"</formula1>
    </dataValidation>
  </dataValidations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2025-11-28T12:58:02Z</dcterms:created>
  <dcterms:modified xmlns:dcterms="http://purl.org/dc/terms/" xmlns:xsi="http://www.w3.org/2001/XMLSchema-instance" xsi:type="dcterms:W3CDTF">2025-11-28T12:58:02Z</dcterms:modified>
</cp:coreProperties>
</file>