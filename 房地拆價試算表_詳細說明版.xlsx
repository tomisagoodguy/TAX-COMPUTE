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拆價報告書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<sst xmlns="http://schemas.openxmlformats.org/spreadsheetml/2006/main" count="14" uniqueCount="14">
  <si>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房地拆價試算報告書</t>
  </si>
  <si>
    <t>1. 土地公告現值 (L)</t>
  </si>
  <si>
    <t>2. 建物公告現值 (B)</t>
  </si>
  <si>
    <t>3. 成交總價 (T)</t>
  </si>
  <si>
    <t>4. 車位價格 (若無則免填)</t>
  </si>
  <si>
    <t>拆分項目</t>
  </si>
  <si>
    <t>一般個人 (未稅)</t>
  </si>
  <si>
    <t>法人/公司 (含稅)</t>
  </si>
  <si>
    <t>土地拆價</t>
  </si>
  <si>
    <t>建物拆價</t>
  </si>
  <si>
    <t>房地拆分小計 (A)</t>
  </si>
  <si>
    <t>(+) 加計車位價格 (B)</t>
  </si>
  <si>
    <t>(=) 驗算總價 (A+B)</t>
  </si>
  <si>
    <t>【使用提示與計算邏輯說明】
1. 拆算核心邏輯：
   先將 [成交總價] 扣除 [車位價格] 得到房地淨額，再依下列比例拆分。
2. 兩種情境的比例計算方式：
   ● 一般個人 (未稅)：不考慮營業稅，直接依公告現值比例拆分。
     → 土地比例公式：土地現值 ÷ (土地現值 + 建物現值)
     → 建物比例公式：建物現值 ÷ (土地現值 + 建物現值)
   ● 法人/公司 (含稅)：因法人出售建物需開立含 5% 營業稅發票，故建物價值需加權。
     → 土地比例公式：土地現值 ÷ (土地現值 + 建物現值 × 1.05)
     → 建物比例公式：(建物現值 × 1.05) ÷ (土地現值 + 建物現值 × 1.05)
     (註：此法會使建物的拆價金額略高，以反映含稅價值)
3. 驗算確認：本表最下方已將拆分後的房地與車位加回，總額應等於成交總價。</t>
  </si>
</sst>
</file>

<file path=xl/styles.xml><?xml version="1.0" encoding="utf-8"?>
<styleSheet xmlns="http://schemas.openxmlformats.org/spreadsheetml/2006/main">
  <numFmts count="1">
    <numFmt numFmtId="164" formatCode="#,##0"/>
  </numFmts>
  <fonts count="14">
    <font>
      <sz val="11"/>
      <color theme="1"/>
      <name val="Calibri"/>
      <family val="2"/>
      <scheme val="minor"/>
    </font>
    <font>
      <b/>
      <sz val="16"/>
      <color rgb="FF333333"/>
      <name val="Microsoft JhengHei"/>
      <family val="2"/>
    </font>
    <font>
      <b/>
      <sz val="11"/>
      <color rgb="FF7F6000"/>
      <name val="Microsoft JhengHei"/>
      <family val="2"/>
    </font>
    <font>
      <b/>
      <sz val="14"/>
      <color rgb="FF000000"/>
      <name val="Microsoft JhengHei"/>
      <family val="2"/>
    </font>
    <font>
      <b/>
      <sz val="11"/>
      <color rgb="FFFFFFFF"/>
      <name val="Microsoft JhengHei"/>
      <family val="2"/>
    </font>
    <font>
      <b/>
      <sz val="11"/>
      <color theme="1"/>
      <name val="Microsoft JhengHei"/>
      <family val="2"/>
    </font>
    <font>
      <b/>
      <sz val="11"/>
      <color rgb="FF375623"/>
      <name val="Microsoft JhengHei"/>
      <family val="2"/>
    </font>
    <font>
      <b/>
      <sz val="11"/>
      <color rgb="FF1F4E78"/>
      <name val="Microsoft JhengHei"/>
      <family val="2"/>
    </font>
    <font>
      <b/>
      <sz val="11"/>
      <color rgb="FF333333"/>
      <name val="Microsoft JhengHei"/>
      <family val="2"/>
    </font>
    <font>
      <b/>
      <sz val="13"/>
      <color rgb="FF375623"/>
      <name val="Microsoft JhengHei"/>
      <family val="2"/>
    </font>
    <font>
      <b/>
      <sz val="13"/>
      <color rgb="FF1F4E78"/>
      <name val="Microsoft JhengHei"/>
      <family val="2"/>
    </font>
    <font>
      <sz val="10"/>
      <color rgb="FF595959"/>
      <name val="Microsoft JhengHei"/>
      <family val="2"/>
    </font>
    <font>
      <b/>
      <sz val="11"/>
      <color rgb="FF000000"/>
      <name val="Microsoft JhengHei"/>
      <family val="2"/>
    </font>
    <font>
      <b/>
      <sz val="11"/>
      <color rgb="FF008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right" vertical="center"/>
    </xf>
    <xf numFmtId="164" fontId="10" fillId="8" borderId="2" xfId="0" applyNumberFormat="1" applyFont="1" applyFill="1" applyBorder="1" applyAlignment="1">
      <alignment horizontal="right" vertical="center"/>
    </xf>
    <xf numFmtId="0" fontId="11" fillId="9" borderId="2" xfId="0" applyFont="1" applyFill="1" applyBorder="1" applyAlignment="1">
      <alignment horizontal="right" vertical="center"/>
    </xf>
    <xf numFmtId="164" fontId="11" fillId="9" borderId="2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right" vertical="center"/>
    </xf>
    <xf numFmtId="164" fontId="12" fillId="10" borderId="2" xfId="0" applyNumberFormat="1" applyFont="1" applyFill="1" applyBorder="1" applyAlignment="1">
      <alignment horizontal="right" vertical="center"/>
    </xf>
    <xf numFmtId="0" fontId="13" fillId="0" borderId="0" xfId="0" applyFont="1"/>
    <xf numFmtId="0" fontId="11" fillId="9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showGridLines="0" tabSelected="1" workbookViewId="0"/>
  </sheetViews>
  <sheetFormatPr defaultRowHeight="15"/>
  <cols>
    <col min="1" max="1" width="2.7109375" customWidth="1"/>
    <col min="2" max="2" width="28.7109375" customWidth="1"/>
    <col min="3" max="4" width="22.7109375" customWidth="1"/>
    <col min="5" max="5" width="2.7109375" customWidth="1"/>
  </cols>
  <sheetData>
    <row r="1" spans="2:5" ht="35" customHeight="1">
      <c r="B1" s="1" t="s">
        <v>0</v>
      </c>
      <c r="C1" s="1"/>
      <c r="D1" s="1"/>
    </row>
    <row r="4" spans="2:5" ht="30" customHeight="1">
      <c r="B4" s="2" t="s">
        <v>1</v>
      </c>
      <c r="C4" s="3">
        <v>0</v>
      </c>
      <c r="D4" s="2"/>
    </row>
    <row r="5" spans="2:5" ht="30" customHeight="1">
      <c r="B5" s="2" t="s">
        <v>2</v>
      </c>
      <c r="C5" s="3">
        <v>0</v>
      </c>
      <c r="D5" s="2"/>
    </row>
    <row r="6" spans="2:5" ht="30" customHeight="1">
      <c r="B6" s="2" t="s">
        <v>3</v>
      </c>
      <c r="C6" s="3">
        <v>0</v>
      </c>
      <c r="D6" s="2"/>
    </row>
    <row r="7" spans="2:5" ht="30" customHeight="1">
      <c r="B7" s="2" t="s">
        <v>4</v>
      </c>
      <c r="C7" s="3">
        <v>0</v>
      </c>
      <c r="D7" s="2"/>
    </row>
    <row r="8" spans="2:5" ht="10" customHeight="1"/>
    <row r="9" spans="2:5" ht="25" customHeight="1">
      <c r="B9" s="4">
        <f>"計算基準 (總價扣除車位)： "&amp;TEXT(C6,"#,##0")&amp;" - "&amp;TEXT(C7,"#,##0")&amp;" = "&amp;TEXT(C6-C7,"#,##0")</f>
        <v>0</v>
      </c>
      <c r="C9" s="4"/>
      <c r="D9" s="4"/>
    </row>
    <row r="10" spans="2:5">
      <c r="B10" s="5" t="s">
        <v>5</v>
      </c>
      <c r="C10" s="6" t="s">
        <v>6</v>
      </c>
      <c r="D10" s="7" t="s">
        <v>7</v>
      </c>
    </row>
    <row r="11" spans="2:5">
      <c r="B11" s="8" t="s">
        <v>8</v>
      </c>
      <c r="C11" s="9">
        <f>IF(C6=0,0, (C6-C7) * (C4/(C4+C5)))</f>
        <v>0</v>
      </c>
      <c r="D11" s="10">
        <f>IF(C6=0,0, (C6-C7) * (C4/(C4+C5*1.05)))</f>
        <v>0</v>
      </c>
    </row>
    <row r="12" spans="2:5">
      <c r="B12" s="8" t="s">
        <v>9</v>
      </c>
      <c r="C12" s="9">
        <f>IF(C6=0,0, (C6-C7) * (C5/(C4+C5)))</f>
        <v>0</v>
      </c>
      <c r="D12" s="10">
        <f>IF(C6=0,0, (C6-C7) * ((C5*1.05)/(C4+C5*1.05)))</f>
        <v>0</v>
      </c>
    </row>
    <row r="13" spans="2:5" ht="5" customHeight="1"/>
    <row r="14" spans="2:5">
      <c r="B14" s="11" t="s">
        <v>10</v>
      </c>
      <c r="C14" s="12">
        <f>C11+C12</f>
        <v>0</v>
      </c>
      <c r="D14" s="12">
        <f>D11+D12</f>
        <v>0</v>
      </c>
    </row>
    <row r="15" spans="2:5">
      <c r="B15" s="11" t="s">
        <v>11</v>
      </c>
      <c r="C15" s="12">
        <f>$C$7</f>
        <v>0</v>
      </c>
      <c r="D15" s="12">
        <f>$C$7</f>
        <v>0</v>
      </c>
    </row>
    <row r="16" spans="2:5">
      <c r="B16" s="13" t="s">
        <v>12</v>
      </c>
      <c r="C16" s="14">
        <f>C14+C15</f>
        <v>0</v>
      </c>
      <c r="D16" s="14">
        <f>D14+D15</f>
        <v>0</v>
      </c>
      <c r="E16" s="15">
        <f>IF(ROUND(C16,0)=ROUND(C6,0),"OK","差異")</f>
        <v>0</v>
      </c>
    </row>
    <row r="18" spans="2:4">
      <c r="B18" s="16" t="s">
        <v>13</v>
      </c>
      <c r="C18" s="16"/>
      <c r="D18" s="16"/>
    </row>
    <row r="19" spans="2:4">
      <c r="B19" s="16"/>
      <c r="C19" s="16"/>
      <c r="D19" s="16"/>
    </row>
    <row r="20" spans="2:4">
      <c r="B20" s="16"/>
      <c r="C20" s="16"/>
      <c r="D20" s="16"/>
    </row>
    <row r="21" spans="2:4">
      <c r="B21" s="16"/>
      <c r="C21" s="16"/>
      <c r="D21" s="16"/>
    </row>
    <row r="22" spans="2:4">
      <c r="B22" s="16"/>
      <c r="C22" s="16"/>
      <c r="D22" s="16"/>
    </row>
    <row r="23" spans="2:4">
      <c r="B23" s="16"/>
      <c r="C23" s="16"/>
      <c r="D23" s="16"/>
    </row>
    <row r="24" spans="2:4">
      <c r="B24" s="16"/>
      <c r="C24" s="16"/>
      <c r="D24" s="16"/>
    </row>
    <row r="25" spans="2:4">
      <c r="B25" s="16"/>
      <c r="C25" s="16"/>
      <c r="D25" s="16"/>
    </row>
    <row r="26" spans="2:4">
      <c r="B26" s="16"/>
      <c r="C26" s="16"/>
      <c r="D26" s="16"/>
    </row>
    <row r="27" spans="2:4">
      <c r="B27" s="16"/>
      <c r="C27" s="16"/>
      <c r="D27" s="16"/>
    </row>
    <row r="28" spans="2:4">
      <c r="B28" s="16"/>
      <c r="C28" s="16"/>
      <c r="D28" s="16"/>
    </row>
    <row r="29" spans="2:4">
      <c r="B29" s="16"/>
      <c r="C29" s="16"/>
      <c r="D29" s="16"/>
    </row>
    <row r="30" spans="2:4">
      <c r="B30" s="16"/>
      <c r="C30" s="16"/>
      <c r="D30" s="16"/>
    </row>
  </sheetData>
  <mergeCells count="3">
    <mergeCell ref="B1:D1"/>
    <mergeCell ref="B9:D9"/>
    <mergeCell ref="B18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拆價報告書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2025-11-21T12:47:26Z</dcterms:created>
  <dcterms:modified xsi:type="dcterms:W3CDTF">2025-11-21T12:47:26Z</dcterms:modified>
</cp:coreProperties>
</file>