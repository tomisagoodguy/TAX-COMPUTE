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工作表1" sheetId="1" r:id="rId1"/>
  </sheets>
  <calcPr calcId="152511"/>
</workbook>
</file>

<file path=xl/calcChain.xml><?xml version="1.0" encoding="utf-8"?>
<calcChain xmlns="http://schemas.openxmlformats.org/spreadsheetml/2006/main">
  <c r="J14" i="1" l="1"/>
  <c r="E16" i="1" l="1"/>
  <c r="E17" i="1" s="1"/>
  <c r="F16" i="1"/>
  <c r="F17" i="1" s="1"/>
  <c r="D16" i="1"/>
  <c r="D17" i="1" s="1"/>
  <c r="B5" i="1"/>
  <c r="J16" i="1" l="1"/>
  <c r="J6" i="1"/>
  <c r="J12" i="1" l="1"/>
  <c r="J17" i="1"/>
  <c r="J13" i="1"/>
  <c r="J11" i="1"/>
  <c r="J10" i="1"/>
  <c r="J9" i="1"/>
  <c r="J8" i="1"/>
  <c r="J7" i="1"/>
  <c r="J15" i="1" l="1"/>
</calcChain>
</file>

<file path=xl/sharedStrings.xml><?xml version="1.0" encoding="utf-8"?>
<sst xmlns="http://schemas.openxmlformats.org/spreadsheetml/2006/main" count="21" uniqueCount="21">
  <si>
    <t>姓名</t>
    <phoneticPr fontId="1" type="noConversion"/>
  </si>
  <si>
    <t>持分</t>
    <phoneticPr fontId="1" type="noConversion"/>
  </si>
  <si>
    <t>履保結餘款</t>
    <phoneticPr fontId="1" type="noConversion"/>
  </si>
  <si>
    <t>合計</t>
    <phoneticPr fontId="1" type="noConversion"/>
  </si>
  <si>
    <t>上述金額經各共有人確認無誤。       簽名:</t>
    <phoneticPr fontId="1" type="noConversion"/>
  </si>
  <si>
    <t>分配金額</t>
    <phoneticPr fontId="1" type="noConversion"/>
  </si>
  <si>
    <t>仲介費</t>
    <phoneticPr fontId="1" type="noConversion"/>
  </si>
  <si>
    <t>土增稅</t>
    <phoneticPr fontId="1" type="noConversion"/>
  </si>
  <si>
    <t>繳稅匯費</t>
    <phoneticPr fontId="1" type="noConversion"/>
  </si>
  <si>
    <t>地價稅</t>
    <phoneticPr fontId="1" type="noConversion"/>
  </si>
  <si>
    <t>履保結餘款分配明細表</t>
    <phoneticPr fontId="1" type="noConversion"/>
  </si>
  <si>
    <t>水電費</t>
    <phoneticPr fontId="1" type="noConversion"/>
  </si>
  <si>
    <t>黃蕙雯</t>
    <phoneticPr fontId="1" type="noConversion"/>
  </si>
  <si>
    <t>黃蕙麗</t>
    <phoneticPr fontId="1" type="noConversion"/>
  </si>
  <si>
    <t>林勝雄</t>
    <phoneticPr fontId="1" type="noConversion"/>
  </si>
  <si>
    <t>二胎</t>
    <phoneticPr fontId="1" type="noConversion"/>
  </si>
  <si>
    <t>銀行貸款</t>
    <phoneticPr fontId="1" type="noConversion"/>
  </si>
  <si>
    <t>小計</t>
    <phoneticPr fontId="1" type="noConversion"/>
  </si>
  <si>
    <t>代書費</t>
    <phoneticPr fontId="1" type="noConversion"/>
  </si>
  <si>
    <t>稅費分算</t>
    <phoneticPr fontId="1" type="noConversion"/>
  </si>
  <si>
    <t>中華民國    年   月   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</si>
</sst>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新細明體"/>
      <family val="2"/>
      <scheme val="minor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/>
    <xf numFmtId="176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/>
    <xf numFmtId="176" fontId="6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13" fontId="2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left" vertical="top" wrapText="1"/>
    </xf>
    <xf numFmtId="176" fontId="0" fillId="0" borderId="0" xfId="0" applyNumberFormat="1" applyAlignment="1">
      <alignment wrapText="1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25"/>
  <sheetViews>
    <sheetView tabSelected="1" zoomScale="85" zoomScaleNormal="85" workbookViewId="0">
      <selection activeCell="B3" sqref="B3"/>
    </sheetView>
  </sheetViews>
  <sheetFormatPr defaultColWidth="9" defaultRowHeight="16.2" x14ac:dyDescent="0.3"/>
  <cols>
    <col min="1" max="1" width="9" style="4"/>
    <col min="2" max="2" width="11.21875" style="4" bestFit="1" customWidth="1"/>
    <col min="3" max="3" width="11.44140625" style="2" customWidth="1"/>
    <col min="4" max="4" width="15" style="2" customWidth="1"/>
    <col min="5" max="5" width="14.88671875" style="2" customWidth="1"/>
    <col min="6" max="6" width="16.33203125" style="2" customWidth="1"/>
    <col min="7" max="9" width="11.44140625" style="2" customWidth="1"/>
    <col min="10" max="10" width="19.109375" style="4" customWidth="1"/>
    <col min="11" max="16384" width="9" style="4"/>
  </cols>
  <sheetData>
    <row r="2" spans="2:10" ht="24.6" x14ac:dyDescent="0.3">
      <c r="D2" s="3" t="s">
        <v>10</v>
      </c>
    </row>
    <row r="3" spans="2:10" x14ac:dyDescent="0.3">
      <c r="B3" s="4">
        <v>18300000</v>
      </c>
    </row>
    <row r="4" spans="2:10" ht="26.25" customHeight="1" x14ac:dyDescent="0.3">
      <c r="C4" s="1" t="s">
        <v>0</v>
      </c>
      <c r="D4" s="1" t="s">
        <v>12</v>
      </c>
      <c r="E4" s="1" t="s">
        <v>13</v>
      </c>
      <c r="F4" s="1" t="s">
        <v>14</v>
      </c>
      <c r="G4" s="1"/>
      <c r="H4" s="1"/>
      <c r="I4" s="1"/>
      <c r="J4" s="5" t="s">
        <v>3</v>
      </c>
    </row>
    <row r="5" spans="2:10" ht="28.5" customHeight="1" x14ac:dyDescent="0.3">
      <c r="B5" s="4">
        <f>B3/3</f>
        <v>6100000</v>
      </c>
      <c r="C5" s="1" t="s">
        <v>1</v>
      </c>
      <c r="D5" s="9">
        <v>0.33333333333333331</v>
      </c>
      <c r="E5" s="9">
        <v>0.33333333333333331</v>
      </c>
      <c r="F5" s="9">
        <v>0.33333333333333331</v>
      </c>
      <c r="G5" s="10"/>
      <c r="H5" s="10"/>
      <c r="I5" s="10"/>
      <c r="J5" s="6"/>
    </row>
    <row r="6" spans="2:10" ht="28.5" customHeight="1" x14ac:dyDescent="0.3">
      <c r="C6" s="1" t="s">
        <v>5</v>
      </c>
      <c r="D6" s="1">
        <v>6100000</v>
      </c>
      <c r="E6" s="1">
        <v>6100000</v>
      </c>
      <c r="F6" s="1">
        <v>6100000</v>
      </c>
      <c r="G6" s="1"/>
      <c r="H6" s="1"/>
      <c r="I6" s="1"/>
      <c r="J6" s="7">
        <f>SUM(D6:I6)</f>
        <v>18300000</v>
      </c>
    </row>
    <row r="7" spans="2:10" ht="28.5" customHeight="1" x14ac:dyDescent="0.3">
      <c r="C7" s="1" t="s">
        <v>6</v>
      </c>
      <c r="D7" s="1">
        <v>150000</v>
      </c>
      <c r="E7" s="1">
        <v>150000</v>
      </c>
      <c r="F7" s="1">
        <v>150000</v>
      </c>
      <c r="G7" s="1"/>
      <c r="H7" s="1"/>
      <c r="I7" s="1"/>
      <c r="J7" s="7">
        <f t="shared" ref="J7:J17" si="0">SUM(D7:I7)</f>
        <v>450000</v>
      </c>
    </row>
    <row r="8" spans="2:10" ht="28.5" customHeight="1" x14ac:dyDescent="0.3">
      <c r="C8" s="1" t="s">
        <v>7</v>
      </c>
      <c r="D8" s="1">
        <v>65001</v>
      </c>
      <c r="E8" s="1">
        <v>65001</v>
      </c>
      <c r="F8" s="1">
        <v>65001</v>
      </c>
      <c r="G8" s="1"/>
      <c r="H8" s="1"/>
      <c r="I8" s="1"/>
      <c r="J8" s="7">
        <f t="shared" si="0"/>
        <v>195003</v>
      </c>
    </row>
    <row r="9" spans="2:10" ht="28.5" customHeight="1" x14ac:dyDescent="0.3">
      <c r="C9" s="1" t="s">
        <v>8</v>
      </c>
      <c r="D9" s="1">
        <v>10</v>
      </c>
      <c r="E9" s="1">
        <v>10</v>
      </c>
      <c r="F9" s="1">
        <v>10</v>
      </c>
      <c r="G9" s="1"/>
      <c r="H9" s="1"/>
      <c r="I9" s="1"/>
      <c r="J9" s="7">
        <f t="shared" si="0"/>
        <v>30</v>
      </c>
    </row>
    <row r="10" spans="2:10" ht="28.5" customHeight="1" x14ac:dyDescent="0.3">
      <c r="C10" s="1" t="s">
        <v>9</v>
      </c>
      <c r="D10" s="1"/>
      <c r="E10" s="1"/>
      <c r="F10" s="1">
        <v>11910</v>
      </c>
      <c r="G10" s="1"/>
      <c r="H10" s="1"/>
      <c r="I10" s="1"/>
      <c r="J10" s="7">
        <f t="shared" si="0"/>
        <v>11910</v>
      </c>
    </row>
    <row r="11" spans="2:10" ht="28.5" customHeight="1" x14ac:dyDescent="0.3">
      <c r="C11" s="1" t="s">
        <v>15</v>
      </c>
      <c r="D11" s="1"/>
      <c r="E11" s="1"/>
      <c r="F11" s="1">
        <v>2888156</v>
      </c>
      <c r="G11" s="1"/>
      <c r="H11" s="1"/>
      <c r="I11" s="1"/>
      <c r="J11" s="7">
        <f t="shared" si="0"/>
        <v>2888156</v>
      </c>
    </row>
    <row r="12" spans="2:10" ht="28.5" customHeight="1" x14ac:dyDescent="0.3">
      <c r="C12" s="1" t="s">
        <v>11</v>
      </c>
      <c r="D12" s="1">
        <v>589</v>
      </c>
      <c r="E12" s="1">
        <v>589</v>
      </c>
      <c r="F12" s="1">
        <v>589</v>
      </c>
      <c r="G12" s="1"/>
      <c r="H12" s="1"/>
      <c r="I12" s="1"/>
      <c r="J12" s="7">
        <f t="shared" si="0"/>
        <v>1767</v>
      </c>
    </row>
    <row r="13" spans="2:10" ht="48.75" customHeight="1" x14ac:dyDescent="0.3">
      <c r="C13" s="1" t="s">
        <v>18</v>
      </c>
      <c r="D13" s="1">
        <v>333</v>
      </c>
      <c r="E13" s="1">
        <v>333</v>
      </c>
      <c r="F13" s="1">
        <v>334</v>
      </c>
      <c r="G13" s="1"/>
      <c r="H13" s="1"/>
      <c r="I13" s="1"/>
      <c r="J13" s="7">
        <f t="shared" si="0"/>
        <v>1000</v>
      </c>
    </row>
    <row r="14" spans="2:10" ht="48.75" customHeight="1" x14ac:dyDescent="0.3">
      <c r="C14" s="1" t="s">
        <v>19</v>
      </c>
      <c r="D14" s="1">
        <v>1488</v>
      </c>
      <c r="E14" s="1">
        <v>1488</v>
      </c>
      <c r="F14" s="1">
        <v>1488</v>
      </c>
      <c r="G14" s="1"/>
      <c r="H14" s="1"/>
      <c r="I14" s="1"/>
      <c r="J14" s="7">
        <f t="shared" si="0"/>
        <v>4464</v>
      </c>
    </row>
    <row r="15" spans="2:10" ht="28.5" customHeight="1" x14ac:dyDescent="0.3">
      <c r="C15" s="1" t="s">
        <v>16</v>
      </c>
      <c r="D15" s="1">
        <v>619761</v>
      </c>
      <c r="E15" s="1"/>
      <c r="F15" s="1">
        <v>1505741</v>
      </c>
      <c r="G15" s="1"/>
      <c r="H15" s="1"/>
      <c r="I15" s="1"/>
      <c r="J15" s="7">
        <f t="shared" si="0"/>
        <v>2125502</v>
      </c>
    </row>
    <row r="16" spans="2:10" ht="28.5" customHeight="1" x14ac:dyDescent="0.3">
      <c r="C16" s="5" t="s">
        <v>17</v>
      </c>
      <c r="D16" s="5">
        <f>SUM(D7:D15)</f>
        <v>837182</v>
      </c>
      <c r="E16" s="5">
        <f t="shared" ref="E16:F16" si="1">SUM(E7:E15)</f>
        <v>217421</v>
      </c>
      <c r="F16" s="5">
        <f t="shared" si="1"/>
        <v>4623229</v>
      </c>
      <c r="G16" s="5"/>
      <c r="H16" s="5"/>
      <c r="I16" s="5"/>
      <c r="J16" s="7">
        <f>SUM(D16:I16)</f>
        <v>5677832</v>
      </c>
    </row>
    <row r="17" spans="3:10" ht="28.5" customHeight="1" x14ac:dyDescent="0.3">
      <c r="C17" s="11" t="s">
        <v>2</v>
      </c>
      <c r="D17" s="11">
        <f>D6-D16</f>
        <v>5262818</v>
      </c>
      <c r="E17" s="11">
        <f t="shared" ref="E17:F17" si="2">E6-E16</f>
        <v>5882579</v>
      </c>
      <c r="F17" s="11">
        <f t="shared" si="2"/>
        <v>1476771</v>
      </c>
      <c r="G17" s="11"/>
      <c r="H17" s="11"/>
      <c r="I17" s="11"/>
      <c r="J17" s="12">
        <f t="shared" si="0"/>
        <v>12622168</v>
      </c>
    </row>
    <row r="18" spans="3:10" ht="28.5" customHeight="1" x14ac:dyDescent="0.3"/>
    <row r="19" spans="3:10" ht="28.5" customHeight="1" x14ac:dyDescent="0.3">
      <c r="C19" s="8"/>
      <c r="D19" s="8"/>
    </row>
    <row r="20" spans="3:10" ht="28.5" customHeight="1" x14ac:dyDescent="0.3">
      <c r="C20" s="13" t="s">
        <v>4</v>
      </c>
      <c r="D20" s="14"/>
      <c r="E20" s="14"/>
      <c r="F20" s="14"/>
      <c r="G20" s="14"/>
      <c r="H20" s="14"/>
      <c r="I20" s="14"/>
    </row>
    <row r="21" spans="3:10" ht="28.5" customHeight="1" x14ac:dyDescent="0.3">
      <c r="C21" s="13" t="s">
        <v>20</v>
      </c>
      <c r="D21" s="14"/>
      <c r="E21" s="14"/>
      <c r="F21" s="14"/>
      <c r="G21" s="14"/>
      <c r="H21" s="14"/>
      <c r="I21" s="14"/>
    </row>
    <row r="22" spans="3:10" ht="28.5" customHeight="1" x14ac:dyDescent="0.3"/>
    <row r="23" spans="3:10" ht="28.5" customHeight="1" x14ac:dyDescent="0.3"/>
    <row r="25" spans="3:10" ht="24.6" x14ac:dyDescent="0.3">
      <c r="D25" s="15"/>
      <c r="E25" s="16"/>
      <c r="F25" s="16"/>
      <c r="G25" s="16"/>
      <c r="H25" s="16"/>
      <c r="I25" s="16"/>
    </row>
  </sheetData>
  <mergeCells count="3">
    <mergeCell ref="C20:I20"/>
    <mergeCell ref="D25:I25"/>
    <mergeCell ref="C21:I21"/>
  </mergeCells>
  <phoneticPr fontId="1" type="noConversion"/>
  <pageMargins left="0.7" right="0.7" top="0.75" bottom="0.75" header="0.3" footer="0.3"/>
  <pageSetup paperSize="9"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2025-11-06T06:40:54Z</dcterms:modified>
</cp:coreProperties>
</file>