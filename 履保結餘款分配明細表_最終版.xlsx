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人分配表" sheetId="1" state="visible" r:id="rId1"/>
    <sheet xmlns:r="http://schemas.openxmlformats.org/officeDocument/2006/relationships" name="6人分配表" sheetId="2" state="visible" r:id="rId2"/>
    <sheet xmlns:r="http://schemas.openxmlformats.org/officeDocument/2006/relationships" name="8人分配表" sheetId="3" state="visible" r:id="rId3"/>
    <sheet xmlns:r="http://schemas.openxmlformats.org/officeDocument/2006/relationships" name="10人分配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?/???"/>
  </numFmts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b val="1"/>
      <sz val="12"/>
    </font>
    <font>
      <name val="微軟正黑體"/>
      <b val="1"/>
      <color rgb="002C3E50"/>
    </font>
    <font>
      <name val="微軟正黑體"/>
    </font>
    <font>
      <name val="微軟正黑體"/>
      <b val="1"/>
    </font>
    <font>
      <name val="微軟正黑體"/>
      <b val="1"/>
      <i val="1"/>
      <color rgb="002C3E50"/>
    </font>
    <font>
      <name val="微軟正黑體"/>
      <b val="1"/>
      <color rgb="00C0392B"/>
    </font>
  </fonts>
  <fills count="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EF9E7"/>
        <bgColor rgb="00FEF9E7"/>
      </patternFill>
    </fill>
    <fill>
      <patternFill patternType="solid">
        <fgColor rgb="00ECF0F1"/>
        <bgColor rgb="00ECF0F1"/>
      </patternFill>
    </fill>
    <fill>
      <patternFill patternType="solid">
        <fgColor rgb="00E5E8E8"/>
        <bgColor rgb="00E5E8E8"/>
      </patternFill>
    </fill>
    <fill>
      <patternFill patternType="solid">
        <fgColor rgb="00FCF3CF"/>
        <bgColor rgb="00FCF3CF"/>
      </patternFill>
    </fill>
  </fills>
  <borders count="7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/>
      <right/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 style="thin">
        <color rgb="007F8C8D"/>
      </bottom>
      <diagonal/>
    </border>
    <border>
      <top style="medium">
        <color rgb="007F8C8D"/>
      </top>
    </border>
    <border>
      <left/>
      <right/>
      <top style="thin">
        <color rgb="007F8C8D"/>
      </top>
      <bottom style="thin">
        <color rgb="007F8C8D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applyProtection="1" pivotButton="0" quotePrefix="0" xfId="0">
      <alignment horizontal="righ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3" fillId="4" borderId="1" applyAlignment="1" pivotButton="0" quotePrefix="0" xfId="0">
      <alignment horizontal="left" vertical="center" wrapText="1"/>
    </xf>
    <xf numFmtId="164" fontId="4" fillId="3" borderId="1" applyAlignment="1" applyProtection="1" pivotButton="0" quotePrefix="0" xfId="0">
      <alignment horizontal="right" vertical="center" wrapText="1"/>
      <protection locked="0" hidden="0"/>
    </xf>
    <xf numFmtId="10" fontId="5" fillId="5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3" fontId="4" fillId="3" borderId="1" applyAlignment="1" applyProtection="1" pivotButton="0" quotePrefix="0" xfId="0">
      <alignment horizontal="right" vertical="center" wrapText="1"/>
      <protection locked="0" hidden="0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0" borderId="6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BC9C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5" customHeight="1">
      <c r="A1" s="1" t="inlineStr">
        <is>
          <t>價金總額</t>
        </is>
      </c>
      <c r="B1" s="2" t="n">
        <v>18300000</v>
      </c>
      <c r="C1" s="3" t="n"/>
    </row>
    <row r="3" ht="32" customHeight="1">
      <c r="A3" s="1" t="inlineStr">
        <is>
          <t>項目</t>
        </is>
      </c>
      <c r="B3" s="1" t="inlineStr">
        <is>
          <t>人員A</t>
        </is>
      </c>
      <c r="C3" s="1" t="inlineStr">
        <is>
          <t>人員B</t>
        </is>
      </c>
      <c r="D3" s="1" t="inlineStr">
        <is>
          <t>人員C</t>
        </is>
      </c>
      <c r="E3" s="1" t="inlineStr">
        <is>
          <t>人員D</t>
        </is>
      </c>
      <c r="F3" s="1" t="inlineStr">
        <is>
          <t>合計</t>
        </is>
      </c>
    </row>
    <row r="4">
      <c r="A4" s="4" t="inlineStr">
        <is>
          <t>持分</t>
        </is>
      </c>
      <c r="B4" s="5" t="n"/>
      <c r="C4" s="5" t="n"/>
      <c r="D4" s="5" t="n"/>
      <c r="E4" s="5" t="n"/>
      <c r="F4" s="6">
        <f>SUM(B4:E4)</f>
        <v/>
      </c>
    </row>
    <row r="5">
      <c r="A5" s="4" t="inlineStr">
        <is>
          <t>分配金額</t>
        </is>
      </c>
      <c r="B5" s="7">
        <f>IF(B4&lt;&gt;"", ROUND(B4*$B$1, 0), 0)</f>
        <v/>
      </c>
      <c r="C5" s="7">
        <f>IF(C4&lt;&gt;"", ROUND(SUM(B4:C4)*$B$1, 0) - SUM(B5:B5), 0)</f>
        <v/>
      </c>
      <c r="D5" s="7">
        <f>IF(D4&lt;&gt;"", ROUND(SUM(B4:D4)*$B$1, 0) - SUM(B5:C5), 0)</f>
        <v/>
      </c>
      <c r="E5" s="7">
        <f>IF(E4&lt;&gt;"", ROUND(SUM(B4:E4)*$B$1, 0) - SUM(B5:D5), 0)</f>
        <v/>
      </c>
      <c r="F5" s="8">
        <f>SUM(B5:E5)</f>
        <v/>
      </c>
    </row>
    <row r="7">
      <c r="A7" s="9" t="inlineStr">
        <is>
          <t>--- 支出項目 ---</t>
        </is>
      </c>
    </row>
    <row r="8">
      <c r="A8" s="4" t="inlineStr">
        <is>
          <t>仲介費</t>
        </is>
      </c>
      <c r="B8" s="10" t="n"/>
      <c r="C8" s="10" t="n"/>
      <c r="D8" s="10" t="n"/>
      <c r="E8" s="10" t="n"/>
      <c r="F8" s="8">
        <f>SUM(B8:E8)</f>
        <v/>
      </c>
    </row>
    <row r="9">
      <c r="A9" s="4" t="inlineStr">
        <is>
          <t>土增稅</t>
        </is>
      </c>
      <c r="B9" s="10" t="n"/>
      <c r="C9" s="10" t="n"/>
      <c r="D9" s="10" t="n"/>
      <c r="E9" s="10" t="n"/>
      <c r="F9" s="8">
        <f>SUM(B9:E9)</f>
        <v/>
      </c>
    </row>
    <row r="10">
      <c r="A10" s="4" t="inlineStr">
        <is>
          <t>繳稅匯費</t>
        </is>
      </c>
      <c r="B10" s="10" t="n"/>
      <c r="C10" s="10" t="n"/>
      <c r="D10" s="10" t="n"/>
      <c r="E10" s="10" t="n"/>
      <c r="F10" s="8">
        <f>SUM(B10:E10)</f>
        <v/>
      </c>
    </row>
    <row r="11">
      <c r="A11" s="4" t="inlineStr">
        <is>
          <t>地價稅</t>
        </is>
      </c>
      <c r="B11" s="10" t="n"/>
      <c r="C11" s="10" t="n"/>
      <c r="D11" s="10" t="n"/>
      <c r="E11" s="10" t="n"/>
      <c r="F11" s="8">
        <f>SUM(B11:E11)</f>
        <v/>
      </c>
    </row>
    <row r="12">
      <c r="A12" s="4" t="inlineStr">
        <is>
          <t>房屋稅</t>
        </is>
      </c>
      <c r="B12" s="10" t="n"/>
      <c r="C12" s="10" t="n"/>
      <c r="D12" s="10" t="n"/>
      <c r="E12" s="10" t="n"/>
      <c r="F12" s="8">
        <f>SUM(B12:E12)</f>
        <v/>
      </c>
    </row>
    <row r="13">
      <c r="A13" s="4" t="inlineStr">
        <is>
          <t>稅費分算</t>
        </is>
      </c>
      <c r="B13" s="10" t="n"/>
      <c r="C13" s="10" t="n"/>
      <c r="D13" s="10" t="n"/>
      <c r="E13" s="10" t="n"/>
      <c r="F13" s="8">
        <f>SUM(B13:E13)</f>
        <v/>
      </c>
    </row>
    <row r="14">
      <c r="A14" s="4" t="inlineStr">
        <is>
          <t>二胎</t>
        </is>
      </c>
      <c r="B14" s="10" t="n"/>
      <c r="C14" s="10" t="n"/>
      <c r="D14" s="10" t="n"/>
      <c r="E14" s="10" t="n"/>
      <c r="F14" s="8">
        <f>SUM(B14:E14)</f>
        <v/>
      </c>
    </row>
    <row r="15">
      <c r="A15" s="4" t="inlineStr">
        <is>
          <t>水電費</t>
        </is>
      </c>
      <c r="B15" s="10" t="n"/>
      <c r="C15" s="10" t="n"/>
      <c r="D15" s="10" t="n"/>
      <c r="E15" s="10" t="n"/>
      <c r="F15" s="8">
        <f>SUM(B15:E15)</f>
        <v/>
      </c>
    </row>
    <row r="16">
      <c r="A16" s="4" t="inlineStr">
        <is>
          <t>代書費</t>
        </is>
      </c>
      <c r="B16" s="10" t="n"/>
      <c r="C16" s="10" t="n"/>
      <c r="D16" s="10" t="n"/>
      <c r="E16" s="10" t="n"/>
      <c r="F16" s="8">
        <f>SUM(B16:E16)</f>
        <v/>
      </c>
    </row>
    <row r="17">
      <c r="A17" s="4" t="inlineStr">
        <is>
          <t>銀行貸款</t>
        </is>
      </c>
      <c r="B17" s="10" t="n"/>
      <c r="C17" s="10" t="n"/>
      <c r="D17" s="10" t="n"/>
      <c r="E17" s="10" t="n"/>
      <c r="F17" s="8">
        <f>SUM(B17:E17)</f>
        <v/>
      </c>
    </row>
    <row r="18">
      <c r="A18" s="4" t="inlineStr">
        <is>
          <t>其他(可自填)1</t>
        </is>
      </c>
      <c r="B18" s="10" t="n"/>
      <c r="C18" s="10" t="n"/>
      <c r="D18" s="10" t="n"/>
      <c r="E18" s="10" t="n"/>
      <c r="F18" s="8">
        <f>SUM(B18:E18)</f>
        <v/>
      </c>
    </row>
    <row r="19">
      <c r="A19" s="4" t="inlineStr">
        <is>
          <t>其他(可自填)2</t>
        </is>
      </c>
      <c r="B19" s="10" t="n"/>
      <c r="C19" s="10" t="n"/>
      <c r="D19" s="10" t="n"/>
      <c r="E19" s="10" t="n"/>
      <c r="F19" s="8">
        <f>SUM(B19:E19)</f>
        <v/>
      </c>
    </row>
    <row r="20">
      <c r="A20" s="4" t="inlineStr">
        <is>
          <t>其他(可自填)3</t>
        </is>
      </c>
      <c r="B20" s="10" t="n"/>
      <c r="C20" s="10" t="n"/>
      <c r="D20" s="10" t="n"/>
      <c r="E20" s="10" t="n"/>
      <c r="F20" s="8">
        <f>SUM(B20:E20)</f>
        <v/>
      </c>
    </row>
    <row r="22">
      <c r="A22" s="4" t="inlineStr">
        <is>
          <t>支出項目合計</t>
        </is>
      </c>
      <c r="B22" s="7">
        <f>IF(B4&lt;&gt;"", SUM(B8:B20), 0)</f>
        <v/>
      </c>
      <c r="C22" s="7">
        <f>IF(C4&lt;&gt;"", SUM(C8:C20), 0)</f>
        <v/>
      </c>
      <c r="D22" s="7">
        <f>IF(D4&lt;&gt;"", SUM(D8:D20), 0)</f>
        <v/>
      </c>
      <c r="E22" s="7">
        <f>IF(E4&lt;&gt;"", SUM(E8:E20), 0)</f>
        <v/>
      </c>
      <c r="F22" s="8">
        <f>SUM(B22:E22)</f>
        <v/>
      </c>
    </row>
    <row r="24">
      <c r="A24" s="11" t="inlineStr">
        <is>
          <t>履保結餘款</t>
        </is>
      </c>
      <c r="B24" s="12">
        <f>IF(B4&lt;&gt;"", B5-B22, 0)</f>
        <v/>
      </c>
      <c r="C24" s="12">
        <f>IF(C4&lt;&gt;"", C5-C22, 0)</f>
        <v/>
      </c>
      <c r="D24" s="12">
        <f>IF(D4&lt;&gt;"", D5-D22, 0)</f>
        <v/>
      </c>
      <c r="E24" s="12">
        <f>IF(E4&lt;&gt;"", E5-E22, 0)</f>
        <v/>
      </c>
      <c r="F24" s="12">
        <f>SUM(B24:E24)</f>
        <v/>
      </c>
    </row>
    <row r="26">
      <c r="A26" s="13" t="n"/>
    </row>
    <row r="27">
      <c r="A27" s="14" t="inlineStr">
        <is>
          <t>上述金額經各共有人確認無誤。</t>
        </is>
      </c>
      <c r="D27" s="15" t="inlineStr">
        <is>
          <t>簽名：</t>
        </is>
      </c>
    </row>
    <row r="29">
      <c r="A29" s="16" t="inlineStr">
        <is>
          <t>中華民國        年        月        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D1"/>
  <mergeCells count="4">
    <mergeCell ref="A26:F26"/>
    <mergeCell ref="B1:C1"/>
    <mergeCell ref="A29:F2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5" customHeight="1">
      <c r="A1" s="1" t="inlineStr">
        <is>
          <t>價金總額</t>
        </is>
      </c>
      <c r="B1" s="2" t="n">
        <v>18300000</v>
      </c>
      <c r="C1" s="17" t="n"/>
      <c r="D1" s="3" t="n"/>
    </row>
    <row r="3" ht="32" customHeight="1">
      <c r="A3" s="1" t="inlineStr">
        <is>
          <t>項目</t>
        </is>
      </c>
      <c r="B3" s="1" t="inlineStr">
        <is>
          <t>人員A</t>
        </is>
      </c>
      <c r="C3" s="1" t="inlineStr">
        <is>
          <t>人員B</t>
        </is>
      </c>
      <c r="D3" s="1" t="inlineStr">
        <is>
          <t>人員C</t>
        </is>
      </c>
      <c r="E3" s="1" t="inlineStr">
        <is>
          <t>人員D</t>
        </is>
      </c>
      <c r="F3" s="1" t="inlineStr">
        <is>
          <t>人員E</t>
        </is>
      </c>
      <c r="G3" s="1" t="inlineStr">
        <is>
          <t>人員F</t>
        </is>
      </c>
      <c r="H3" s="1" t="inlineStr">
        <is>
          <t>合計</t>
        </is>
      </c>
    </row>
    <row r="4">
      <c r="A4" s="4" t="inlineStr">
        <is>
          <t>持分</t>
        </is>
      </c>
      <c r="B4" s="5" t="n"/>
      <c r="C4" s="5" t="n"/>
      <c r="D4" s="5" t="n"/>
      <c r="E4" s="5" t="n"/>
      <c r="F4" s="5" t="n"/>
      <c r="G4" s="5" t="n"/>
      <c r="H4" s="6">
        <f>SUM(B4:G4)</f>
        <v/>
      </c>
    </row>
    <row r="5">
      <c r="A5" s="4" t="inlineStr">
        <is>
          <t>分配金額</t>
        </is>
      </c>
      <c r="B5" s="7">
        <f>IF(B4&lt;&gt;"", ROUND(B4*$B$1, 0), 0)</f>
        <v/>
      </c>
      <c r="C5" s="7">
        <f>IF(C4&lt;&gt;"", ROUND(SUM(B4:C4)*$B$1, 0) - SUM(B5:B5), 0)</f>
        <v/>
      </c>
      <c r="D5" s="7">
        <f>IF(D4&lt;&gt;"", ROUND(SUM(B4:D4)*$B$1, 0) - SUM(B5:C5), 0)</f>
        <v/>
      </c>
      <c r="E5" s="7">
        <f>IF(E4&lt;&gt;"", ROUND(SUM(B4:E4)*$B$1, 0) - SUM(B5:D5), 0)</f>
        <v/>
      </c>
      <c r="F5" s="7">
        <f>IF(F4&lt;&gt;"", ROUND(SUM(B4:F4)*$B$1, 0) - SUM(B5:E5), 0)</f>
        <v/>
      </c>
      <c r="G5" s="7">
        <f>IF(G4&lt;&gt;"", ROUND(SUM(B4:G4)*$B$1, 0) - SUM(B5:F5), 0)</f>
        <v/>
      </c>
      <c r="H5" s="8">
        <f>SUM(B5:G5)</f>
        <v/>
      </c>
    </row>
    <row r="7">
      <c r="A7" s="9" t="inlineStr">
        <is>
          <t>--- 支出項目 ---</t>
        </is>
      </c>
    </row>
    <row r="8">
      <c r="A8" s="4" t="inlineStr">
        <is>
          <t>仲介費</t>
        </is>
      </c>
      <c r="B8" s="10" t="n"/>
      <c r="C8" s="10" t="n"/>
      <c r="D8" s="10" t="n"/>
      <c r="E8" s="10" t="n"/>
      <c r="F8" s="10" t="n"/>
      <c r="G8" s="10" t="n"/>
      <c r="H8" s="8">
        <f>SUM(B8:G8)</f>
        <v/>
      </c>
    </row>
    <row r="9">
      <c r="A9" s="4" t="inlineStr">
        <is>
          <t>土增稅</t>
        </is>
      </c>
      <c r="B9" s="10" t="n"/>
      <c r="C9" s="10" t="n"/>
      <c r="D9" s="10" t="n"/>
      <c r="E9" s="10" t="n"/>
      <c r="F9" s="10" t="n"/>
      <c r="G9" s="10" t="n"/>
      <c r="H9" s="8">
        <f>SUM(B9:G9)</f>
        <v/>
      </c>
    </row>
    <row r="10">
      <c r="A10" s="4" t="inlineStr">
        <is>
          <t>繳稅匯費</t>
        </is>
      </c>
      <c r="B10" s="10" t="n"/>
      <c r="C10" s="10" t="n"/>
      <c r="D10" s="10" t="n"/>
      <c r="E10" s="10" t="n"/>
      <c r="F10" s="10" t="n"/>
      <c r="G10" s="10" t="n"/>
      <c r="H10" s="8">
        <f>SUM(B10:G10)</f>
        <v/>
      </c>
    </row>
    <row r="11">
      <c r="A11" s="4" t="inlineStr">
        <is>
          <t>地價稅</t>
        </is>
      </c>
      <c r="B11" s="10" t="n"/>
      <c r="C11" s="10" t="n"/>
      <c r="D11" s="10" t="n"/>
      <c r="E11" s="10" t="n"/>
      <c r="F11" s="10" t="n"/>
      <c r="G11" s="10" t="n"/>
      <c r="H11" s="8">
        <f>SUM(B11:G11)</f>
        <v/>
      </c>
    </row>
    <row r="12">
      <c r="A12" s="4" t="inlineStr">
        <is>
          <t>房屋稅</t>
        </is>
      </c>
      <c r="B12" s="10" t="n"/>
      <c r="C12" s="10" t="n"/>
      <c r="D12" s="10" t="n"/>
      <c r="E12" s="10" t="n"/>
      <c r="F12" s="10" t="n"/>
      <c r="G12" s="10" t="n"/>
      <c r="H12" s="8">
        <f>SUM(B12:G12)</f>
        <v/>
      </c>
    </row>
    <row r="13">
      <c r="A13" s="4" t="inlineStr">
        <is>
          <t>稅費分算</t>
        </is>
      </c>
      <c r="B13" s="10" t="n"/>
      <c r="C13" s="10" t="n"/>
      <c r="D13" s="10" t="n"/>
      <c r="E13" s="10" t="n"/>
      <c r="F13" s="10" t="n"/>
      <c r="G13" s="10" t="n"/>
      <c r="H13" s="8">
        <f>SUM(B13:G13)</f>
        <v/>
      </c>
    </row>
    <row r="14">
      <c r="A14" s="4" t="inlineStr">
        <is>
          <t>二胎</t>
        </is>
      </c>
      <c r="B14" s="10" t="n"/>
      <c r="C14" s="10" t="n"/>
      <c r="D14" s="10" t="n"/>
      <c r="E14" s="10" t="n"/>
      <c r="F14" s="10" t="n"/>
      <c r="G14" s="10" t="n"/>
      <c r="H14" s="8">
        <f>SUM(B14:G14)</f>
        <v/>
      </c>
    </row>
    <row r="15">
      <c r="A15" s="4" t="inlineStr">
        <is>
          <t>水電費</t>
        </is>
      </c>
      <c r="B15" s="10" t="n"/>
      <c r="C15" s="10" t="n"/>
      <c r="D15" s="10" t="n"/>
      <c r="E15" s="10" t="n"/>
      <c r="F15" s="10" t="n"/>
      <c r="G15" s="10" t="n"/>
      <c r="H15" s="8">
        <f>SUM(B15:G15)</f>
        <v/>
      </c>
    </row>
    <row r="16">
      <c r="A16" s="4" t="inlineStr">
        <is>
          <t>代書費</t>
        </is>
      </c>
      <c r="B16" s="10" t="n"/>
      <c r="C16" s="10" t="n"/>
      <c r="D16" s="10" t="n"/>
      <c r="E16" s="10" t="n"/>
      <c r="F16" s="10" t="n"/>
      <c r="G16" s="10" t="n"/>
      <c r="H16" s="8">
        <f>SUM(B16:G16)</f>
        <v/>
      </c>
    </row>
    <row r="17">
      <c r="A17" s="4" t="inlineStr">
        <is>
          <t>銀行貸款</t>
        </is>
      </c>
      <c r="B17" s="10" t="n"/>
      <c r="C17" s="10" t="n"/>
      <c r="D17" s="10" t="n"/>
      <c r="E17" s="10" t="n"/>
      <c r="F17" s="10" t="n"/>
      <c r="G17" s="10" t="n"/>
      <c r="H17" s="8">
        <f>SUM(B17:G17)</f>
        <v/>
      </c>
    </row>
    <row r="18">
      <c r="A18" s="4" t="inlineStr">
        <is>
          <t>其他(可自填)1</t>
        </is>
      </c>
      <c r="B18" s="10" t="n"/>
      <c r="C18" s="10" t="n"/>
      <c r="D18" s="10" t="n"/>
      <c r="E18" s="10" t="n"/>
      <c r="F18" s="10" t="n"/>
      <c r="G18" s="10" t="n"/>
      <c r="H18" s="8">
        <f>SUM(B18:G18)</f>
        <v/>
      </c>
    </row>
    <row r="19">
      <c r="A19" s="4" t="inlineStr">
        <is>
          <t>其他(可自填)2</t>
        </is>
      </c>
      <c r="B19" s="10" t="n"/>
      <c r="C19" s="10" t="n"/>
      <c r="D19" s="10" t="n"/>
      <c r="E19" s="10" t="n"/>
      <c r="F19" s="10" t="n"/>
      <c r="G19" s="10" t="n"/>
      <c r="H19" s="8">
        <f>SUM(B19:G19)</f>
        <v/>
      </c>
    </row>
    <row r="20">
      <c r="A20" s="4" t="inlineStr">
        <is>
          <t>其他(可自填)3</t>
        </is>
      </c>
      <c r="B20" s="10" t="n"/>
      <c r="C20" s="10" t="n"/>
      <c r="D20" s="10" t="n"/>
      <c r="E20" s="10" t="n"/>
      <c r="F20" s="10" t="n"/>
      <c r="G20" s="10" t="n"/>
      <c r="H20" s="8">
        <f>SUM(B20:G20)</f>
        <v/>
      </c>
    </row>
    <row r="22">
      <c r="A22" s="4" t="inlineStr">
        <is>
          <t>支出項目合計</t>
        </is>
      </c>
      <c r="B22" s="7">
        <f>IF(B4&lt;&gt;"", SUM(B8:B20), 0)</f>
        <v/>
      </c>
      <c r="C22" s="7">
        <f>IF(C4&lt;&gt;"", SUM(C8:C20), 0)</f>
        <v/>
      </c>
      <c r="D22" s="7">
        <f>IF(D4&lt;&gt;"", SUM(D8:D20), 0)</f>
        <v/>
      </c>
      <c r="E22" s="7">
        <f>IF(E4&lt;&gt;"", SUM(E8:E20), 0)</f>
        <v/>
      </c>
      <c r="F22" s="7">
        <f>IF(F4&lt;&gt;"", SUM(F8:F20), 0)</f>
        <v/>
      </c>
      <c r="G22" s="7">
        <f>IF(G4&lt;&gt;"", SUM(G8:G20), 0)</f>
        <v/>
      </c>
      <c r="H22" s="8">
        <f>SUM(B22:G22)</f>
        <v/>
      </c>
    </row>
    <row r="24">
      <c r="A24" s="11" t="inlineStr">
        <is>
          <t>履保結餘款</t>
        </is>
      </c>
      <c r="B24" s="12">
        <f>IF(B4&lt;&gt;"", B5-B22, 0)</f>
        <v/>
      </c>
      <c r="C24" s="12">
        <f>IF(C4&lt;&gt;"", C5-C22, 0)</f>
        <v/>
      </c>
      <c r="D24" s="12">
        <f>IF(D4&lt;&gt;"", D5-D22, 0)</f>
        <v/>
      </c>
      <c r="E24" s="12">
        <f>IF(E4&lt;&gt;"", E5-E22, 0)</f>
        <v/>
      </c>
      <c r="F24" s="12">
        <f>IF(F4&lt;&gt;"", F5-F22, 0)</f>
        <v/>
      </c>
      <c r="G24" s="12">
        <f>IF(G4&lt;&gt;"", G5-G22, 0)</f>
        <v/>
      </c>
      <c r="H24" s="12">
        <f>SUM(B24:G24)</f>
        <v/>
      </c>
    </row>
    <row r="26">
      <c r="A26" s="13" t="n"/>
    </row>
    <row r="27">
      <c r="A27" s="14" t="inlineStr">
        <is>
          <t>上述金額經各共有人確認無誤。</t>
        </is>
      </c>
      <c r="F27" s="15" t="inlineStr">
        <is>
          <t>簽名：</t>
        </is>
      </c>
    </row>
    <row r="29">
      <c r="A29" s="16" t="inlineStr">
        <is>
          <t>中華民國        年        月        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D1"/>
  <mergeCells count="4">
    <mergeCell ref="A7:H7"/>
    <mergeCell ref="A26:H26"/>
    <mergeCell ref="B1:D1"/>
    <mergeCell ref="A29:H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25" customHeight="1">
      <c r="A1" s="1" t="inlineStr">
        <is>
          <t>價金總額</t>
        </is>
      </c>
      <c r="B1" s="2" t="n">
        <v>18300000</v>
      </c>
      <c r="C1" s="17" t="n"/>
      <c r="D1" s="3" t="n"/>
    </row>
    <row r="3" ht="32" customHeight="1">
      <c r="A3" s="1" t="inlineStr">
        <is>
          <t>項目</t>
        </is>
      </c>
      <c r="B3" s="1" t="inlineStr">
        <is>
          <t>人員A</t>
        </is>
      </c>
      <c r="C3" s="1" t="inlineStr">
        <is>
          <t>人員B</t>
        </is>
      </c>
      <c r="D3" s="1" t="inlineStr">
        <is>
          <t>人員C</t>
        </is>
      </c>
      <c r="E3" s="1" t="inlineStr">
        <is>
          <t>人員D</t>
        </is>
      </c>
      <c r="F3" s="1" t="inlineStr">
        <is>
          <t>人員E</t>
        </is>
      </c>
      <c r="G3" s="1" t="inlineStr">
        <is>
          <t>人員F</t>
        </is>
      </c>
      <c r="H3" s="1" t="inlineStr">
        <is>
          <t>人員G</t>
        </is>
      </c>
      <c r="I3" s="1" t="inlineStr">
        <is>
          <t>人員H</t>
        </is>
      </c>
      <c r="J3" s="1" t="inlineStr">
        <is>
          <t>合計</t>
        </is>
      </c>
    </row>
    <row r="4">
      <c r="A4" s="4" t="inlineStr">
        <is>
          <t>持分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6">
        <f>SUM(B4:I4)</f>
        <v/>
      </c>
    </row>
    <row r="5">
      <c r="A5" s="4" t="inlineStr">
        <is>
          <t>分配金額</t>
        </is>
      </c>
      <c r="B5" s="7">
        <f>IF(B4&lt;&gt;"", ROUND(B4*$B$1, 0), 0)</f>
        <v/>
      </c>
      <c r="C5" s="7">
        <f>IF(C4&lt;&gt;"", ROUND(SUM(B4:C4)*$B$1, 0) - SUM(B5:B5), 0)</f>
        <v/>
      </c>
      <c r="D5" s="7">
        <f>IF(D4&lt;&gt;"", ROUND(SUM(B4:D4)*$B$1, 0) - SUM(B5:C5), 0)</f>
        <v/>
      </c>
      <c r="E5" s="7">
        <f>IF(E4&lt;&gt;"", ROUND(SUM(B4:E4)*$B$1, 0) - SUM(B5:D5), 0)</f>
        <v/>
      </c>
      <c r="F5" s="7">
        <f>IF(F4&lt;&gt;"", ROUND(SUM(B4:F4)*$B$1, 0) - SUM(B5:E5), 0)</f>
        <v/>
      </c>
      <c r="G5" s="7">
        <f>IF(G4&lt;&gt;"", ROUND(SUM(B4:G4)*$B$1, 0) - SUM(B5:F5), 0)</f>
        <v/>
      </c>
      <c r="H5" s="7">
        <f>IF(H4&lt;&gt;"", ROUND(SUM(B4:H4)*$B$1, 0) - SUM(B5:G5), 0)</f>
        <v/>
      </c>
      <c r="I5" s="7">
        <f>IF(I4&lt;&gt;"", ROUND(SUM(B4:I4)*$B$1, 0) - SUM(B5:H5), 0)</f>
        <v/>
      </c>
      <c r="J5" s="8">
        <f>SUM(B5:I5)</f>
        <v/>
      </c>
    </row>
    <row r="7">
      <c r="A7" s="9" t="inlineStr">
        <is>
          <t>--- 支出項目 ---</t>
        </is>
      </c>
    </row>
    <row r="8">
      <c r="A8" s="4" t="inlineStr">
        <is>
          <t>仲介費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8">
        <f>SUM(B8:I8)</f>
        <v/>
      </c>
    </row>
    <row r="9">
      <c r="A9" s="4" t="inlineStr">
        <is>
          <t>土增稅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8">
        <f>SUM(B9:I9)</f>
        <v/>
      </c>
    </row>
    <row r="10">
      <c r="A10" s="4" t="inlineStr">
        <is>
          <t>繳稅匯費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8">
        <f>SUM(B10:I10)</f>
        <v/>
      </c>
    </row>
    <row r="11">
      <c r="A11" s="4" t="inlineStr">
        <is>
          <t>地價稅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8">
        <f>SUM(B11:I11)</f>
        <v/>
      </c>
    </row>
    <row r="12">
      <c r="A12" s="4" t="inlineStr">
        <is>
          <t>房屋稅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8">
        <f>SUM(B12:I12)</f>
        <v/>
      </c>
    </row>
    <row r="13">
      <c r="A13" s="4" t="inlineStr">
        <is>
          <t>稅費分算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8">
        <f>SUM(B13:I13)</f>
        <v/>
      </c>
    </row>
    <row r="14">
      <c r="A14" s="4" t="inlineStr">
        <is>
          <t>二胎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8">
        <f>SUM(B14:I14)</f>
        <v/>
      </c>
    </row>
    <row r="15">
      <c r="A15" s="4" t="inlineStr">
        <is>
          <t>水電費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8">
        <f>SUM(B15:I15)</f>
        <v/>
      </c>
    </row>
    <row r="16">
      <c r="A16" s="4" t="inlineStr">
        <is>
          <t>代書費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8">
        <f>SUM(B16:I16)</f>
        <v/>
      </c>
    </row>
    <row r="17">
      <c r="A17" s="4" t="inlineStr">
        <is>
          <t>銀行貸款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8">
        <f>SUM(B17:I17)</f>
        <v/>
      </c>
    </row>
    <row r="18">
      <c r="A18" s="4" t="inlineStr">
        <is>
          <t>其他(可自填)1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8">
        <f>SUM(B18:I18)</f>
        <v/>
      </c>
    </row>
    <row r="19">
      <c r="A19" s="4" t="inlineStr">
        <is>
          <t>其他(可自填)2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8">
        <f>SUM(B19:I19)</f>
        <v/>
      </c>
    </row>
    <row r="20">
      <c r="A20" s="4" t="inlineStr">
        <is>
          <t>其他(可自填)3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8">
        <f>SUM(B20:I20)</f>
        <v/>
      </c>
    </row>
    <row r="22">
      <c r="A22" s="4" t="inlineStr">
        <is>
          <t>支出項目合計</t>
        </is>
      </c>
      <c r="B22" s="7">
        <f>IF(B4&lt;&gt;"", SUM(B8:B20), 0)</f>
        <v/>
      </c>
      <c r="C22" s="7">
        <f>IF(C4&lt;&gt;"", SUM(C8:C20), 0)</f>
        <v/>
      </c>
      <c r="D22" s="7">
        <f>IF(D4&lt;&gt;"", SUM(D8:D20), 0)</f>
        <v/>
      </c>
      <c r="E22" s="7">
        <f>IF(E4&lt;&gt;"", SUM(E8:E20), 0)</f>
        <v/>
      </c>
      <c r="F22" s="7">
        <f>IF(F4&lt;&gt;"", SUM(F8:F20), 0)</f>
        <v/>
      </c>
      <c r="G22" s="7">
        <f>IF(G4&lt;&gt;"", SUM(G8:G20), 0)</f>
        <v/>
      </c>
      <c r="H22" s="7">
        <f>IF(H4&lt;&gt;"", SUM(H8:H20), 0)</f>
        <v/>
      </c>
      <c r="I22" s="7">
        <f>IF(I4&lt;&gt;"", SUM(I8:I20), 0)</f>
        <v/>
      </c>
      <c r="J22" s="8">
        <f>SUM(B22:I22)</f>
        <v/>
      </c>
    </row>
    <row r="24">
      <c r="A24" s="11" t="inlineStr">
        <is>
          <t>履保結餘款</t>
        </is>
      </c>
      <c r="B24" s="12">
        <f>IF(B4&lt;&gt;"", B5-B22, 0)</f>
        <v/>
      </c>
      <c r="C24" s="12">
        <f>IF(C4&lt;&gt;"", C5-C22, 0)</f>
        <v/>
      </c>
      <c r="D24" s="12">
        <f>IF(D4&lt;&gt;"", D5-D22, 0)</f>
        <v/>
      </c>
      <c r="E24" s="12">
        <f>IF(E4&lt;&gt;"", E5-E22, 0)</f>
        <v/>
      </c>
      <c r="F24" s="12">
        <f>IF(F4&lt;&gt;"", F5-F22, 0)</f>
        <v/>
      </c>
      <c r="G24" s="12">
        <f>IF(G4&lt;&gt;"", G5-G22, 0)</f>
        <v/>
      </c>
      <c r="H24" s="12">
        <f>IF(H4&lt;&gt;"", H5-H22, 0)</f>
        <v/>
      </c>
      <c r="I24" s="12">
        <f>IF(I4&lt;&gt;"", I5-I22, 0)</f>
        <v/>
      </c>
      <c r="J24" s="12">
        <f>SUM(B24:I24)</f>
        <v/>
      </c>
    </row>
    <row r="26">
      <c r="A26" s="13" t="n"/>
    </row>
    <row r="27">
      <c r="A27" s="14" t="inlineStr">
        <is>
          <t>上述金額經各共有人確認無誤。</t>
        </is>
      </c>
      <c r="H27" s="15" t="inlineStr">
        <is>
          <t>簽名：</t>
        </is>
      </c>
    </row>
    <row r="29">
      <c r="A29" s="16" t="inlineStr">
        <is>
          <t>中華民國        年        月        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D1"/>
  <mergeCells count="4">
    <mergeCell ref="A29:J29"/>
    <mergeCell ref="B1:D1"/>
    <mergeCell ref="A26:J26"/>
    <mergeCell ref="A7:J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25" customHeight="1">
      <c r="A1" s="1" t="inlineStr">
        <is>
          <t>價金總額</t>
        </is>
      </c>
      <c r="B1" s="2" t="n">
        <v>18300000</v>
      </c>
      <c r="C1" s="17" t="n"/>
      <c r="D1" s="3" t="n"/>
    </row>
    <row r="3" ht="32" customHeight="1">
      <c r="A3" s="1" t="inlineStr">
        <is>
          <t>項目</t>
        </is>
      </c>
      <c r="B3" s="1" t="inlineStr">
        <is>
          <t>人員A</t>
        </is>
      </c>
      <c r="C3" s="1" t="inlineStr">
        <is>
          <t>人員B</t>
        </is>
      </c>
      <c r="D3" s="1" t="inlineStr">
        <is>
          <t>人員C</t>
        </is>
      </c>
      <c r="E3" s="1" t="inlineStr">
        <is>
          <t>人員D</t>
        </is>
      </c>
      <c r="F3" s="1" t="inlineStr">
        <is>
          <t>人員E</t>
        </is>
      </c>
      <c r="G3" s="1" t="inlineStr">
        <is>
          <t>人員F</t>
        </is>
      </c>
      <c r="H3" s="1" t="inlineStr">
        <is>
          <t>人員G</t>
        </is>
      </c>
      <c r="I3" s="1" t="inlineStr">
        <is>
          <t>人員H</t>
        </is>
      </c>
      <c r="J3" s="1" t="inlineStr">
        <is>
          <t>人員I</t>
        </is>
      </c>
      <c r="K3" s="1" t="inlineStr">
        <is>
          <t>人員J</t>
        </is>
      </c>
      <c r="L3" s="1" t="inlineStr">
        <is>
          <t>合計</t>
        </is>
      </c>
    </row>
    <row r="4">
      <c r="A4" s="4" t="inlineStr">
        <is>
          <t>持分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>
        <f>SUM(B4:K4)</f>
        <v/>
      </c>
    </row>
    <row r="5">
      <c r="A5" s="4" t="inlineStr">
        <is>
          <t>分配金額</t>
        </is>
      </c>
      <c r="B5" s="7">
        <f>IF(B4&lt;&gt;"", ROUND(B4*$B$1, 0), 0)</f>
        <v/>
      </c>
      <c r="C5" s="7">
        <f>IF(C4&lt;&gt;"", ROUND(SUM(B4:C4)*$B$1, 0) - SUM(B5:B5), 0)</f>
        <v/>
      </c>
      <c r="D5" s="7">
        <f>IF(D4&lt;&gt;"", ROUND(SUM(B4:D4)*$B$1, 0) - SUM(B5:C5), 0)</f>
        <v/>
      </c>
      <c r="E5" s="7">
        <f>IF(E4&lt;&gt;"", ROUND(SUM(B4:E4)*$B$1, 0) - SUM(B5:D5), 0)</f>
        <v/>
      </c>
      <c r="F5" s="7">
        <f>IF(F4&lt;&gt;"", ROUND(SUM(B4:F4)*$B$1, 0) - SUM(B5:E5), 0)</f>
        <v/>
      </c>
      <c r="G5" s="7">
        <f>IF(G4&lt;&gt;"", ROUND(SUM(B4:G4)*$B$1, 0) - SUM(B5:F5), 0)</f>
        <v/>
      </c>
      <c r="H5" s="7">
        <f>IF(H4&lt;&gt;"", ROUND(SUM(B4:H4)*$B$1, 0) - SUM(B5:G5), 0)</f>
        <v/>
      </c>
      <c r="I5" s="7">
        <f>IF(I4&lt;&gt;"", ROUND(SUM(B4:I4)*$B$1, 0) - SUM(B5:H5), 0)</f>
        <v/>
      </c>
      <c r="J5" s="7">
        <f>IF(J4&lt;&gt;"", ROUND(SUM(B4:J4)*$B$1, 0) - SUM(B5:I5), 0)</f>
        <v/>
      </c>
      <c r="K5" s="7">
        <f>IF(K4&lt;&gt;"", ROUND(SUM(B4:K4)*$B$1, 0) - SUM(B5:J5), 0)</f>
        <v/>
      </c>
      <c r="L5" s="8">
        <f>SUM(B5:K5)</f>
        <v/>
      </c>
    </row>
    <row r="7">
      <c r="A7" s="9" t="inlineStr">
        <is>
          <t>--- 支出項目 ---</t>
        </is>
      </c>
    </row>
    <row r="8">
      <c r="A8" s="4" t="inlineStr">
        <is>
          <t>仲介費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8">
        <f>SUM(B8:K8)</f>
        <v/>
      </c>
    </row>
    <row r="9">
      <c r="A9" s="4" t="inlineStr">
        <is>
          <t>土增稅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8">
        <f>SUM(B9:K9)</f>
        <v/>
      </c>
    </row>
    <row r="10">
      <c r="A10" s="4" t="inlineStr">
        <is>
          <t>繳稅匯費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8">
        <f>SUM(B10:K10)</f>
        <v/>
      </c>
    </row>
    <row r="11">
      <c r="A11" s="4" t="inlineStr">
        <is>
          <t>地價稅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8">
        <f>SUM(B11:K11)</f>
        <v/>
      </c>
    </row>
    <row r="12">
      <c r="A12" s="4" t="inlineStr">
        <is>
          <t>房屋稅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8">
        <f>SUM(B12:K12)</f>
        <v/>
      </c>
    </row>
    <row r="13">
      <c r="A13" s="4" t="inlineStr">
        <is>
          <t>稅費分算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8">
        <f>SUM(B13:K13)</f>
        <v/>
      </c>
    </row>
    <row r="14">
      <c r="A14" s="4" t="inlineStr">
        <is>
          <t>二胎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8">
        <f>SUM(B14:K14)</f>
        <v/>
      </c>
    </row>
    <row r="15">
      <c r="A15" s="4" t="inlineStr">
        <is>
          <t>水電費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8">
        <f>SUM(B15:K15)</f>
        <v/>
      </c>
    </row>
    <row r="16">
      <c r="A16" s="4" t="inlineStr">
        <is>
          <t>代書費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8">
        <f>SUM(B16:K16)</f>
        <v/>
      </c>
    </row>
    <row r="17">
      <c r="A17" s="4" t="inlineStr">
        <is>
          <t>銀行貸款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8">
        <f>SUM(B17:K17)</f>
        <v/>
      </c>
    </row>
    <row r="18">
      <c r="A18" s="4" t="inlineStr">
        <is>
          <t>其他(可自填)1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8">
        <f>SUM(B18:K18)</f>
        <v/>
      </c>
    </row>
    <row r="19">
      <c r="A19" s="4" t="inlineStr">
        <is>
          <t>其他(可自填)2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8">
        <f>SUM(B19:K19)</f>
        <v/>
      </c>
    </row>
    <row r="20">
      <c r="A20" s="4" t="inlineStr">
        <is>
          <t>其他(可自填)3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8">
        <f>SUM(B20:K20)</f>
        <v/>
      </c>
    </row>
    <row r="22">
      <c r="A22" s="4" t="inlineStr">
        <is>
          <t>支出項目合計</t>
        </is>
      </c>
      <c r="B22" s="7">
        <f>IF(B4&lt;&gt;"", SUM(B8:B20), 0)</f>
        <v/>
      </c>
      <c r="C22" s="7">
        <f>IF(C4&lt;&gt;"", SUM(C8:C20), 0)</f>
        <v/>
      </c>
      <c r="D22" s="7">
        <f>IF(D4&lt;&gt;"", SUM(D8:D20), 0)</f>
        <v/>
      </c>
      <c r="E22" s="7">
        <f>IF(E4&lt;&gt;"", SUM(E8:E20), 0)</f>
        <v/>
      </c>
      <c r="F22" s="7">
        <f>IF(F4&lt;&gt;"", SUM(F8:F20), 0)</f>
        <v/>
      </c>
      <c r="G22" s="7">
        <f>IF(G4&lt;&gt;"", SUM(G8:G20), 0)</f>
        <v/>
      </c>
      <c r="H22" s="7">
        <f>IF(H4&lt;&gt;"", SUM(H8:H20), 0)</f>
        <v/>
      </c>
      <c r="I22" s="7">
        <f>IF(I4&lt;&gt;"", SUM(I8:I20), 0)</f>
        <v/>
      </c>
      <c r="J22" s="7">
        <f>IF(J4&lt;&gt;"", SUM(J8:J20), 0)</f>
        <v/>
      </c>
      <c r="K22" s="7">
        <f>IF(K4&lt;&gt;"", SUM(K8:K20), 0)</f>
        <v/>
      </c>
      <c r="L22" s="8">
        <f>SUM(B22:K22)</f>
        <v/>
      </c>
    </row>
    <row r="24">
      <c r="A24" s="11" t="inlineStr">
        <is>
          <t>履保結餘款</t>
        </is>
      </c>
      <c r="B24" s="12">
        <f>IF(B4&lt;&gt;"", B5-B22, 0)</f>
        <v/>
      </c>
      <c r="C24" s="12">
        <f>IF(C4&lt;&gt;"", C5-C22, 0)</f>
        <v/>
      </c>
      <c r="D24" s="12">
        <f>IF(D4&lt;&gt;"", D5-D22, 0)</f>
        <v/>
      </c>
      <c r="E24" s="12">
        <f>IF(E4&lt;&gt;"", E5-E22, 0)</f>
        <v/>
      </c>
      <c r="F24" s="12">
        <f>IF(F4&lt;&gt;"", F5-F22, 0)</f>
        <v/>
      </c>
      <c r="G24" s="12">
        <f>IF(G4&lt;&gt;"", G5-G22, 0)</f>
        <v/>
      </c>
      <c r="H24" s="12">
        <f>IF(H4&lt;&gt;"", H5-H22, 0)</f>
        <v/>
      </c>
      <c r="I24" s="12">
        <f>IF(I4&lt;&gt;"", I5-I22, 0)</f>
        <v/>
      </c>
      <c r="J24" s="12">
        <f>IF(J4&lt;&gt;"", J5-J22, 0)</f>
        <v/>
      </c>
      <c r="K24" s="12">
        <f>IF(K4&lt;&gt;"", K5-K22, 0)</f>
        <v/>
      </c>
      <c r="L24" s="12">
        <f>SUM(B24:K24)</f>
        <v/>
      </c>
    </row>
    <row r="26">
      <c r="A26" s="13" t="n"/>
    </row>
    <row r="27">
      <c r="A27" s="14" t="inlineStr">
        <is>
          <t>上述金額經各共有人確認無誤。</t>
        </is>
      </c>
      <c r="J27" s="15" t="inlineStr">
        <is>
          <t>簽名：</t>
        </is>
      </c>
    </row>
    <row r="29">
      <c r="A29" s="16" t="inlineStr">
        <is>
          <t>中華民國        年        月        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D1"/>
  <mergeCells count="4">
    <mergeCell ref="A26:L26"/>
    <mergeCell ref="B1:D1"/>
    <mergeCell ref="A29:L29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2025-11-19T14:19:34Z</dcterms:created>
  <dcterms:modified xmlns:dcterms="http://purl.org/dc/terms/" xmlns:xsi="http://www.w3.org/2001/XMLSchema-instance" xsi:type="dcterms:W3CDTF">2025-11-19T14:19:34Z</dcterms:modified>
</cp:coreProperties>
</file>