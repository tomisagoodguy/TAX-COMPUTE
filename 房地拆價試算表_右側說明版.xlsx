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拆價與財交稅試算" sheetId="1" r:id="rId1"/>
    <sheet name="113年度稅率參照表" sheetId="2" r:id="rId2"/>
  </sheets>
  <calcPr calcId="124519" fullCalcOnLoad="1"/>
</workbook>
</file>

<file path=xl/sharedStrings.xml><?xml version="1.0" encoding="utf-8"?>
<sst xmlns="http://schemas.openxmlformats.org/spreadsheetml/2006/main" count="116" uniqueCount="86">
  <si>
    <t>房地拆價與財交稅試算表</t>
  </si>
  <si>
    <t>1. 土地公告現值 (L)</t>
  </si>
  <si>
    <t>元</t>
  </si>
  <si>
    <t>2. 建物評定/公告現值 (B)</t>
  </si>
  <si>
    <t>3. 成交總價 (T)</t>
  </si>
  <si>
    <t>4. 車位價格 (若無則免填)</t>
  </si>
  <si>
    <t>5. 所得標準率 (輸入10或0.1)</t>
  </si>
  <si>
    <t>查詢113年稅率表 &gt;&gt;</t>
  </si>
  <si>
    <t>拆分項目</t>
  </si>
  <si>
    <t>一般個人 (未稅)</t>
  </si>
  <si>
    <t>法人/公司 (含稅)</t>
  </si>
  <si>
    <t>土地拆價</t>
  </si>
  <si>
    <t>建物拆價</t>
  </si>
  <si>
    <t>驗算總價 (含車位)</t>
  </si>
  <si>
    <t>【舊制財交稅試算結果】</t>
  </si>
  <si>
    <t>房地比 (建物/總現值)</t>
  </si>
  <si>
    <t>出售房屋財交所得額</t>
  </si>
  <si>
    <t>【使用提示與計算邏輯說明】</t>
  </si>
  <si>
    <t>1. 拆算核心邏輯：
   先將 [成交總價] 扣除 [車位價格] 得到房地淨額，再依下列比例拆分。
2. 兩種情境的比例計算方式：
   ● 一般個人 (未稅)：
     不考慮營業稅，直接依公告現值比例拆分。
     → 土地比例公式：土地現值 ÷ (土地現值 + 建物現值)
     → 建物比例公式：建物現值 ÷ (土地現值 + 建物現值)
   ● 法人/公司 (含稅)：
     因法人出售建物需開立含 5% 營業稅發票，故建物價值需加權。
     → 土地比例公式：土地現值 ÷ (土地現值 + 建物現值 × 1.05)
     → 建物比例公式：(建物現值 × 1.05) ÷ (土地現值 + 建物現值 × 1.05)
     (註：此法會使建物的拆價金額略高，以反映含稅價值)
3. 驗算確認：
   本表下方已將拆分後的房地與車位加回，總額應等於成交總價。
4. 房地比與財交稅：
   房地比格式顯示為小數點 (如 0.32)，方便直接填寫申報書。</t>
  </si>
  <si>
    <t>縣市/類別</t>
  </si>
  <si>
    <t>行政區或條件</t>
  </si>
  <si>
    <t>標準/稅率</t>
  </si>
  <si>
    <t>備註</t>
  </si>
  <si>
    <t>【第一類：高總價/豪宅 (採實際成交金額計算)】</t>
  </si>
  <si>
    <t>臺北市</t>
  </si>
  <si>
    <t>房地總成交金額 ≧ 6,000萬元 或 單價 ≧ 120萬/坪</t>
  </si>
  <si>
    <t>按實際所得核實</t>
  </si>
  <si>
    <t>無法舉證成本者，採收入 × 房地比 × 20%</t>
  </si>
  <si>
    <t>新北市</t>
  </si>
  <si>
    <t>房地總成交金額 ≧ 4,000萬元 或 單價 ≧ 75萬/坪</t>
  </si>
  <si>
    <t>同上</t>
  </si>
  <si>
    <t>桃園/竹縣市/中/南/高</t>
  </si>
  <si>
    <t>房地總成交金額 ≧ 3,000萬元 或 單價 ≧ 50萬/坪</t>
  </si>
  <si>
    <t>其他地區</t>
  </si>
  <si>
    <t>房地總成交金額 ≧ 2,200萬元 或 單價 ≧ 35萬/坪</t>
  </si>
  <si>
    <t>【第二類：一般案件 (房屋評定現值 × 稅率)】 - 財政部 114.2.19 公告</t>
  </si>
  <si>
    <t>中山區、松山區、中正區、大安區、信義區</t>
  </si>
  <si>
    <t>48%</t>
  </si>
  <si>
    <t>士林區、內湖區、大同區、南港區</t>
  </si>
  <si>
    <t>46%</t>
  </si>
  <si>
    <t>北投區、萬華區、文山區</t>
  </si>
  <si>
    <t>45%</t>
  </si>
  <si>
    <t>板橋、永和、中和、三重、新店、蘆洲、新莊、土城</t>
  </si>
  <si>
    <t>44%</t>
  </si>
  <si>
    <t>林口區</t>
  </si>
  <si>
    <t>42%</t>
  </si>
  <si>
    <t>汐止區、樹林區</t>
  </si>
  <si>
    <t>41%</t>
  </si>
  <si>
    <t>泰山區</t>
  </si>
  <si>
    <t>36%</t>
  </si>
  <si>
    <t>五股區、三峽區</t>
  </si>
  <si>
    <t>34%</t>
  </si>
  <si>
    <t>淡水區</t>
  </si>
  <si>
    <t>29%</t>
  </si>
  <si>
    <t>八里區</t>
  </si>
  <si>
    <t>27%</t>
  </si>
  <si>
    <t>鶯歌區</t>
  </si>
  <si>
    <t>24%</t>
  </si>
  <si>
    <t>深坑區</t>
  </si>
  <si>
    <t>23%</t>
  </si>
  <si>
    <t>金山區、三芝區、萬里區</t>
  </si>
  <si>
    <t>19%</t>
  </si>
  <si>
    <t>瑞芳區</t>
  </si>
  <si>
    <t>18%</t>
  </si>
  <si>
    <t>石碇、烏來、平溪、坪林、石門、雙溪、貢寮</t>
  </si>
  <si>
    <t>14%</t>
  </si>
  <si>
    <t>桃園市</t>
  </si>
  <si>
    <t>桃園區、中壢區</t>
  </si>
  <si>
    <t>33%</t>
  </si>
  <si>
    <t>龜山區、蘆竹區、八德區</t>
  </si>
  <si>
    <t>32%</t>
  </si>
  <si>
    <t>臺中市</t>
  </si>
  <si>
    <t>西屯區、南屯區</t>
  </si>
  <si>
    <t>35%</t>
  </si>
  <si>
    <t>北屯區、西區</t>
  </si>
  <si>
    <t>臺南市</t>
  </si>
  <si>
    <t>東區</t>
  </si>
  <si>
    <t>30%</t>
  </si>
  <si>
    <t>高雄市</t>
  </si>
  <si>
    <t>左營、鼓山、三民</t>
  </si>
  <si>
    <t>37%</t>
  </si>
  <si>
    <t>苓雅、前鎮</t>
  </si>
  <si>
    <t>新竹市</t>
  </si>
  <si>
    <t>全區</t>
  </si>
  <si>
    <t>新竹縣</t>
  </si>
  <si>
    <t>竹北市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</si>
</sst>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21">
    <font>
      <sz val="11"/>
      <color theme="1"/>
      <name val="Calibri"/>
      <family val="2"/>
      <scheme val="minor"/>
    </font>
    <font>
      <b/>
      <sz val="16"/>
      <color rgb="FF333333"/>
      <name val="Microsoft JhengHei"/>
      <family val="2"/>
    </font>
    <font>
      <b/>
      <sz val="11"/>
      <color rgb="FFFFFFFF"/>
      <name val="Microsoft JhengHei"/>
      <family val="2"/>
    </font>
    <font>
      <b/>
      <sz val="11"/>
      <color rgb="FF7F6000"/>
      <name val="Microsoft JhengHei"/>
      <family val="2"/>
    </font>
    <font>
      <b/>
      <sz val="14"/>
      <color rgb="FF000000"/>
      <name val="Microsoft JhengHei"/>
      <family val="2"/>
    </font>
    <font>
      <sz val="10"/>
      <color rgb="FF808080"/>
      <name val="Microsoft JhengHei"/>
      <family val="2"/>
    </font>
    <font>
      <sz val="10"/>
      <color rgb="FF404040"/>
      <name val="Microsoft JhengHei"/>
      <family val="2"/>
    </font>
    <font>
      <u/>
      <sz val="10"/>
      <color rgb="FF0000FF"/>
      <name val="Microsoft JhengHei"/>
      <family val="2"/>
    </font>
    <font>
      <b/>
      <sz val="11"/>
      <color rgb="FF333333"/>
      <name val="Microsoft JhengHei"/>
      <family val="2"/>
    </font>
    <font>
      <b/>
      <sz val="11"/>
      <color rgb="FF375623"/>
      <name val="Microsoft JhengHei"/>
      <family val="2"/>
    </font>
    <font>
      <b/>
      <sz val="11"/>
      <color rgb="FF1F4E78"/>
      <name val="Microsoft JhengHei"/>
      <family val="2"/>
    </font>
    <font>
      <b/>
      <sz val="13"/>
      <color rgb="FF375623"/>
      <name val="Microsoft JhengHei"/>
      <family val="2"/>
    </font>
    <font>
      <b/>
      <sz val="13"/>
      <color rgb="FF1F4E78"/>
      <name val="Microsoft JhengHei"/>
      <family val="2"/>
    </font>
    <font>
      <sz val="10"/>
      <color rgb="FF595959"/>
      <name val="Microsoft JhengHei"/>
      <family val="2"/>
    </font>
    <font>
      <b/>
      <sz val="11"/>
      <color rgb="FFC65911"/>
      <name val="Microsoft JhengHei"/>
      <family val="2"/>
    </font>
    <font>
      <b/>
      <sz val="13"/>
      <color rgb="FF333333"/>
      <name val="Microsoft JhengHei"/>
      <family val="2"/>
    </font>
    <font>
      <b/>
      <sz val="13"/>
      <color rgb="FFC65911"/>
      <name val="Microsoft JhengHei"/>
      <family val="2"/>
    </font>
    <font>
      <b/>
      <sz val="12"/>
      <color rgb="FFFFFFFF"/>
      <name val="Microsoft JhengHei"/>
      <family val="2"/>
    </font>
    <font>
      <b/>
      <sz val="11"/>
      <color rgb="FF000000"/>
      <name val="Microsoft JhengHei"/>
      <family val="2"/>
    </font>
    <font>
      <sz val="10"/>
      <color theme="1"/>
      <name val="Microsoft JhengHei"/>
      <family val="2"/>
    </font>
    <font>
      <b/>
      <sz val="10"/>
      <color rgb="FFC00000"/>
      <name val="Microsoft JhengHei"/>
      <family val="2"/>
    </font>
  </fonts>
  <fills count="1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5" borderId="3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164" fontId="11" fillId="10" borderId="1" xfId="0" applyNumberFormat="1" applyFont="1" applyFill="1" applyBorder="1" applyAlignment="1">
      <alignment horizontal="right" vertical="center"/>
    </xf>
    <xf numFmtId="164" fontId="12" fillId="10" borderId="1" xfId="0" applyNumberFormat="1" applyFont="1" applyFill="1" applyBorder="1" applyAlignment="1">
      <alignment horizontal="right" vertical="center"/>
    </xf>
    <xf numFmtId="0" fontId="13" fillId="11" borderId="1" xfId="0" applyFont="1" applyFill="1" applyBorder="1" applyAlignment="1">
      <alignment horizontal="right" vertical="center"/>
    </xf>
    <xf numFmtId="164" fontId="13" fillId="11" borderId="1" xfId="0" applyNumberFormat="1" applyFont="1" applyFill="1" applyBorder="1" applyAlignment="1">
      <alignment horizontal="right" vertical="center"/>
    </xf>
    <xf numFmtId="0" fontId="14" fillId="12" borderId="1" xfId="0" applyFont="1" applyFill="1" applyBorder="1" applyAlignment="1">
      <alignment horizontal="center" vertical="center"/>
    </xf>
    <xf numFmtId="165" fontId="15" fillId="10" borderId="1" xfId="0" applyNumberFormat="1" applyFont="1" applyFill="1" applyBorder="1" applyAlignment="1">
      <alignment horizontal="right" vertical="center"/>
    </xf>
    <xf numFmtId="164" fontId="16" fillId="10" borderId="1" xfId="0" applyNumberFormat="1" applyFont="1" applyFill="1" applyBorder="1" applyAlignment="1">
      <alignment horizontal="right" vertical="center"/>
    </xf>
    <xf numFmtId="0" fontId="17" fillId="13" borderId="1" xfId="0" applyFont="1" applyFill="1" applyBorder="1"/>
    <xf numFmtId="0" fontId="18" fillId="14" borderId="1" xfId="0" applyFont="1" applyFill="1" applyBorder="1"/>
    <xf numFmtId="0" fontId="19" fillId="0" borderId="1" xfId="0" applyFont="1" applyBorder="1" applyAlignment="1">
      <alignment vertical="top" wrapText="1"/>
    </xf>
    <xf numFmtId="0" fontId="20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showGridLines="0" tabSelected="1" workbookViewId="0"/>
  </sheetViews>
  <sheetFormatPr defaultRowHeight="15"/>
  <cols>
    <col min="1" max="1" width="2.7109375" customWidth="1"/>
    <col min="2" max="2" width="28.7109375" customWidth="1"/>
    <col min="3" max="3" width="22.7109375" customWidth="1"/>
    <col min="4" max="4" width="20.7109375" customWidth="1"/>
    <col min="5" max="5" width="2.7109375" customWidth="1"/>
    <col min="6" max="8" width="12.7109375" customWidth="1"/>
  </cols>
  <sheetData>
    <row r="1" spans="2:8" ht="35" customHeight="1">
      <c r="B1" s="1" t="s">
        <v>0</v>
      </c>
      <c r="C1" s="1"/>
      <c r="D1" s="1"/>
    </row>
    <row r="3" spans="2:8">
      <c r="F3" s="2" t="s">
        <v>17</v>
      </c>
      <c r="G3" s="2"/>
      <c r="H3" s="2"/>
    </row>
    <row r="4" spans="2:8" ht="30" customHeight="1">
      <c r="B4" s="3" t="s">
        <v>1</v>
      </c>
      <c r="C4" s="4">
        <v>0</v>
      </c>
      <c r="D4" s="5" t="s">
        <v>2</v>
      </c>
      <c r="F4" s="6" t="s">
        <v>18</v>
      </c>
      <c r="G4" s="6"/>
      <c r="H4" s="6"/>
    </row>
    <row r="5" spans="2:8" ht="30" customHeight="1">
      <c r="B5" s="3" t="s">
        <v>3</v>
      </c>
      <c r="C5" s="4">
        <v>0</v>
      </c>
      <c r="D5" s="5" t="s">
        <v>2</v>
      </c>
      <c r="F5" s="6"/>
      <c r="G5" s="6"/>
      <c r="H5" s="6"/>
    </row>
    <row r="6" spans="2:8" ht="30" customHeight="1">
      <c r="B6" s="3" t="s">
        <v>4</v>
      </c>
      <c r="C6" s="4">
        <v>0</v>
      </c>
      <c r="D6" s="5" t="s">
        <v>2</v>
      </c>
      <c r="F6" s="6"/>
      <c r="G6" s="6"/>
      <c r="H6" s="6"/>
    </row>
    <row r="7" spans="2:8" ht="30" customHeight="1">
      <c r="B7" s="3" t="s">
        <v>5</v>
      </c>
      <c r="C7" s="4">
        <v>0</v>
      </c>
      <c r="D7" s="5" t="s">
        <v>2</v>
      </c>
      <c r="F7" s="6"/>
      <c r="G7" s="6"/>
      <c r="H7" s="6"/>
    </row>
    <row r="8" spans="2:8" ht="30" customHeight="1">
      <c r="B8" s="3" t="s">
        <v>6</v>
      </c>
      <c r="C8" s="7">
        <v>0</v>
      </c>
      <c r="D8" s="8" t="s">
        <v>7</v>
      </c>
      <c r="F8" s="6"/>
      <c r="G8" s="6"/>
      <c r="H8" s="6"/>
    </row>
    <row r="9" spans="2:8">
      <c r="F9" s="6"/>
      <c r="G9" s="6"/>
      <c r="H9" s="6"/>
    </row>
    <row r="10" spans="2:8">
      <c r="B10" s="9">
        <f>"計算基準： "&amp;TEXT(C6,"#,##0")&amp;" - "&amp;TEXT(C7,"#,##0")&amp;" = "&amp;TEXT(C6-C7,"#,##0")</f>
        <v>0</v>
      </c>
      <c r="C10" s="9"/>
      <c r="D10" s="9"/>
      <c r="F10" s="6"/>
      <c r="G10" s="6"/>
      <c r="H10" s="6"/>
    </row>
    <row r="11" spans="2:8">
      <c r="B11" s="10" t="s">
        <v>8</v>
      </c>
      <c r="C11" s="11" t="s">
        <v>9</v>
      </c>
      <c r="D11" s="12" t="s">
        <v>10</v>
      </c>
      <c r="F11" s="6"/>
      <c r="G11" s="6"/>
      <c r="H11" s="6"/>
    </row>
    <row r="12" spans="2:8">
      <c r="B12" s="10" t="s">
        <v>11</v>
      </c>
      <c r="C12" s="13">
        <f>IF(C6=0,0, (C6-C7) * (C4/(C4+C5)))</f>
        <v>0</v>
      </c>
      <c r="D12" s="14">
        <f>IF(C6=0,0, (C6-C7) * (C4/(C4+C5*1.05)))</f>
        <v>0</v>
      </c>
      <c r="F12" s="6"/>
      <c r="G12" s="6"/>
      <c r="H12" s="6"/>
    </row>
    <row r="13" spans="2:8">
      <c r="B13" s="10" t="s">
        <v>12</v>
      </c>
      <c r="C13" s="13">
        <f>IF(C6=0,0, (C6-C7) * (C5/(C4+C5)))</f>
        <v>0</v>
      </c>
      <c r="D13" s="14">
        <f>IF(C6=0,0, (C6-C7) * ((C5*1.05)/(C4+C5*1.05)))</f>
        <v>0</v>
      </c>
      <c r="F13" s="6"/>
      <c r="G13" s="6"/>
      <c r="H13" s="6"/>
    </row>
    <row r="14" spans="2:8">
      <c r="B14" s="15" t="s">
        <v>13</v>
      </c>
      <c r="C14" s="16">
        <f>C12+C13+C7</f>
        <v>0</v>
      </c>
      <c r="D14" s="16">
        <f>D12+D13+C7</f>
        <v>0</v>
      </c>
      <c r="F14" s="6"/>
      <c r="G14" s="6"/>
      <c r="H14" s="6"/>
    </row>
    <row r="15" spans="2:8">
      <c r="F15" s="6"/>
      <c r="G15" s="6"/>
      <c r="H15" s="6"/>
    </row>
    <row r="16" spans="2:8">
      <c r="B16" s="17" t="s">
        <v>14</v>
      </c>
      <c r="C16" s="17"/>
      <c r="D16" s="17"/>
      <c r="F16" s="6"/>
      <c r="G16" s="6"/>
      <c r="H16" s="6"/>
    </row>
    <row r="17" spans="2:8">
      <c r="B17" s="10" t="s">
        <v>15</v>
      </c>
      <c r="C17" s="18">
        <f>IF((C4+C5)=0, 0, C5/(C4+C5))</f>
        <v>0</v>
      </c>
      <c r="D17" s="18"/>
      <c r="F17" s="6"/>
      <c r="G17" s="6"/>
      <c r="H17" s="6"/>
    </row>
    <row r="18" spans="2:8">
      <c r="B18" s="10" t="s">
        <v>16</v>
      </c>
      <c r="C18" s="19">
        <f>ROUND(C5 * IF(C8&gt;=1, C8/100, C8), 0)</f>
        <v>0</v>
      </c>
      <c r="D18" s="19"/>
      <c r="F18" s="6"/>
      <c r="G18" s="6"/>
      <c r="H18" s="6"/>
    </row>
  </sheetData>
  <mergeCells count="7">
    <mergeCell ref="B1:D1"/>
    <mergeCell ref="B10:D10"/>
    <mergeCell ref="B16:D16"/>
    <mergeCell ref="C17:D17"/>
    <mergeCell ref="C18:D18"/>
    <mergeCell ref="F3:H3"/>
    <mergeCell ref="F4:H18"/>
  </mergeCells>
  <hyperlinks>
    <hyperlink ref="D8" location="'113年度稅率參照表'!A1" display="查詢113年稅率表 &gt;&gt;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15.7109375" customWidth="1"/>
    <col min="2" max="2" width="40.7109375" customWidth="1"/>
    <col min="3" max="3" width="15.7109375" customWidth="1"/>
    <col min="4" max="4" width="30.7109375" customWidth="1"/>
  </cols>
  <sheetData>
    <row r="1" spans="1:4">
      <c r="A1" s="20" t="s">
        <v>19</v>
      </c>
      <c r="B1" s="20" t="s">
        <v>20</v>
      </c>
      <c r="C1" s="20" t="s">
        <v>21</v>
      </c>
      <c r="D1" s="20" t="s">
        <v>22</v>
      </c>
    </row>
    <row r="2" spans="1:4">
      <c r="A2" s="21" t="s">
        <v>23</v>
      </c>
      <c r="B2" s="21"/>
      <c r="C2" s="21"/>
      <c r="D2" s="21"/>
    </row>
    <row r="3" spans="1:4">
      <c r="A3" s="22" t="s">
        <v>24</v>
      </c>
      <c r="B3" s="22" t="s">
        <v>25</v>
      </c>
      <c r="C3" s="23" t="s">
        <v>26</v>
      </c>
      <c r="D3" s="22" t="s">
        <v>27</v>
      </c>
    </row>
    <row r="4" spans="1:4">
      <c r="A4" s="22" t="s">
        <v>28</v>
      </c>
      <c r="B4" s="22" t="s">
        <v>29</v>
      </c>
      <c r="C4" s="23" t="s">
        <v>26</v>
      </c>
      <c r="D4" s="22" t="s">
        <v>30</v>
      </c>
    </row>
    <row r="5" spans="1:4">
      <c r="A5" s="22" t="s">
        <v>31</v>
      </c>
      <c r="B5" s="22" t="s">
        <v>32</v>
      </c>
      <c r="C5" s="23" t="s">
        <v>26</v>
      </c>
      <c r="D5" s="22" t="s">
        <v>30</v>
      </c>
    </row>
    <row r="6" spans="1:4">
      <c r="A6" s="22" t="s">
        <v>33</v>
      </c>
      <c r="B6" s="22" t="s">
        <v>34</v>
      </c>
      <c r="C6" s="23" t="s">
        <v>26</v>
      </c>
      <c r="D6" s="22" t="s">
        <v>30</v>
      </c>
    </row>
    <row r="8" spans="1:4">
      <c r="A8" s="21" t="s">
        <v>35</v>
      </c>
      <c r="B8" s="21"/>
      <c r="C8" s="21"/>
      <c r="D8" s="21"/>
    </row>
    <row r="9" spans="1:4">
      <c r="A9" s="22" t="s">
        <v>24</v>
      </c>
      <c r="B9" s="22" t="s">
        <v>36</v>
      </c>
      <c r="C9" s="23" t="s">
        <v>37</v>
      </c>
      <c r="D9" s="22"/>
    </row>
    <row r="10" spans="1:4">
      <c r="A10" s="22" t="s">
        <v>24</v>
      </c>
      <c r="B10" s="22" t="s">
        <v>38</v>
      </c>
      <c r="C10" s="23" t="s">
        <v>39</v>
      </c>
      <c r="D10" s="22"/>
    </row>
    <row r="11" spans="1:4">
      <c r="A11" s="22" t="s">
        <v>24</v>
      </c>
      <c r="B11" s="22" t="s">
        <v>40</v>
      </c>
      <c r="C11" s="23" t="s">
        <v>41</v>
      </c>
      <c r="D11" s="22"/>
    </row>
    <row r="12" spans="1:4">
      <c r="A12" s="22" t="s">
        <v>28</v>
      </c>
      <c r="B12" s="22" t="s">
        <v>42</v>
      </c>
      <c r="C12" s="23" t="s">
        <v>43</v>
      </c>
      <c r="D12" s="22"/>
    </row>
    <row r="13" spans="1:4">
      <c r="A13" s="22" t="s">
        <v>28</v>
      </c>
      <c r="B13" s="22" t="s">
        <v>44</v>
      </c>
      <c r="C13" s="23" t="s">
        <v>45</v>
      </c>
      <c r="D13" s="22"/>
    </row>
    <row r="14" spans="1:4">
      <c r="A14" s="22" t="s">
        <v>28</v>
      </c>
      <c r="B14" s="22" t="s">
        <v>46</v>
      </c>
      <c r="C14" s="23" t="s">
        <v>47</v>
      </c>
      <c r="D14" s="22"/>
    </row>
    <row r="15" spans="1:4">
      <c r="A15" s="22" t="s">
        <v>28</v>
      </c>
      <c r="B15" s="22" t="s">
        <v>48</v>
      </c>
      <c r="C15" s="23" t="s">
        <v>49</v>
      </c>
      <c r="D15" s="22"/>
    </row>
    <row r="16" spans="1:4">
      <c r="A16" s="22" t="s">
        <v>28</v>
      </c>
      <c r="B16" s="22" t="s">
        <v>50</v>
      </c>
      <c r="C16" s="23" t="s">
        <v>51</v>
      </c>
      <c r="D16" s="22"/>
    </row>
    <row r="17" spans="1:4">
      <c r="A17" s="22" t="s">
        <v>28</v>
      </c>
      <c r="B17" s="22" t="s">
        <v>52</v>
      </c>
      <c r="C17" s="23" t="s">
        <v>53</v>
      </c>
      <c r="D17" s="22"/>
    </row>
    <row r="18" spans="1:4">
      <c r="A18" s="22" t="s">
        <v>28</v>
      </c>
      <c r="B18" s="22" t="s">
        <v>54</v>
      </c>
      <c r="C18" s="23" t="s">
        <v>55</v>
      </c>
      <c r="D18" s="22"/>
    </row>
    <row r="19" spans="1:4">
      <c r="A19" s="22" t="s">
        <v>28</v>
      </c>
      <c r="B19" s="22" t="s">
        <v>56</v>
      </c>
      <c r="C19" s="23" t="s">
        <v>57</v>
      </c>
      <c r="D19" s="22"/>
    </row>
    <row r="20" spans="1:4">
      <c r="A20" s="22" t="s">
        <v>28</v>
      </c>
      <c r="B20" s="22" t="s">
        <v>58</v>
      </c>
      <c r="C20" s="23" t="s">
        <v>59</v>
      </c>
      <c r="D20" s="22"/>
    </row>
    <row r="21" spans="1:4">
      <c r="A21" s="22" t="s">
        <v>28</v>
      </c>
      <c r="B21" s="22" t="s">
        <v>60</v>
      </c>
      <c r="C21" s="23" t="s">
        <v>61</v>
      </c>
      <c r="D21" s="22"/>
    </row>
    <row r="22" spans="1:4">
      <c r="A22" s="22" t="s">
        <v>28</v>
      </c>
      <c r="B22" s="22" t="s">
        <v>62</v>
      </c>
      <c r="C22" s="23" t="s">
        <v>63</v>
      </c>
      <c r="D22" s="22"/>
    </row>
    <row r="23" spans="1:4">
      <c r="A23" s="22" t="s">
        <v>28</v>
      </c>
      <c r="B23" s="22" t="s">
        <v>64</v>
      </c>
      <c r="C23" s="23" t="s">
        <v>65</v>
      </c>
      <c r="D23" s="22"/>
    </row>
    <row r="24" spans="1:4">
      <c r="A24" s="22" t="s">
        <v>66</v>
      </c>
      <c r="B24" s="22" t="s">
        <v>67</v>
      </c>
      <c r="C24" s="23" t="s">
        <v>68</v>
      </c>
      <c r="D24" s="22"/>
    </row>
    <row r="25" spans="1:4">
      <c r="A25" s="22" t="s">
        <v>66</v>
      </c>
      <c r="B25" s="22" t="s">
        <v>69</v>
      </c>
      <c r="C25" s="23" t="s">
        <v>70</v>
      </c>
      <c r="D25" s="22"/>
    </row>
    <row r="26" spans="1:4">
      <c r="A26" s="22" t="s">
        <v>71</v>
      </c>
      <c r="B26" s="22" t="s">
        <v>72</v>
      </c>
      <c r="C26" s="23" t="s">
        <v>73</v>
      </c>
      <c r="D26" s="22"/>
    </row>
    <row r="27" spans="1:4">
      <c r="A27" s="22" t="s">
        <v>71</v>
      </c>
      <c r="B27" s="22" t="s">
        <v>74</v>
      </c>
      <c r="C27" s="23" t="s">
        <v>70</v>
      </c>
      <c r="D27" s="22"/>
    </row>
    <row r="28" spans="1:4">
      <c r="A28" s="22" t="s">
        <v>75</v>
      </c>
      <c r="B28" s="22" t="s">
        <v>76</v>
      </c>
      <c r="C28" s="23" t="s">
        <v>77</v>
      </c>
      <c r="D28" s="22"/>
    </row>
    <row r="29" spans="1:4">
      <c r="A29" s="22" t="s">
        <v>78</v>
      </c>
      <c r="B29" s="22" t="s">
        <v>79</v>
      </c>
      <c r="C29" s="23" t="s">
        <v>80</v>
      </c>
      <c r="D29" s="22"/>
    </row>
    <row r="30" spans="1:4">
      <c r="A30" s="22" t="s">
        <v>78</v>
      </c>
      <c r="B30" s="22" t="s">
        <v>81</v>
      </c>
      <c r="C30" s="23" t="s">
        <v>73</v>
      </c>
      <c r="D30" s="22"/>
    </row>
    <row r="31" spans="1:4">
      <c r="A31" s="22" t="s">
        <v>82</v>
      </c>
      <c r="B31" s="22" t="s">
        <v>83</v>
      </c>
      <c r="C31" s="23" t="s">
        <v>70</v>
      </c>
      <c r="D31" s="22"/>
    </row>
    <row r="32" spans="1:4">
      <c r="A32" s="22" t="s">
        <v>84</v>
      </c>
      <c r="B32" s="22" t="s">
        <v>85</v>
      </c>
      <c r="C32" s="23" t="s">
        <v>80</v>
      </c>
      <c r="D32" s="22"/>
    </row>
  </sheetData>
  <mergeCells count="2">
    <mergeCell ref="A2:D2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拆價與財交稅試算</vt:lpstr>
      <vt:lpstr>113年度稅率參照表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2025-11-22T04:36:35Z</dcterms:created>
  <dcterms:modified xsi:type="dcterms:W3CDTF">2025-11-22T04:36:35Z</dcterms:modified>
</cp:coreProperties>
</file>