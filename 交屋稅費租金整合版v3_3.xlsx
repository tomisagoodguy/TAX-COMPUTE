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TAX-COMPUTE\"/>
    </mc:Choice>
  </mc:AlternateContent>
  <xr:revisionPtr revIDLastSave="0" documentId="13_ncr:1_{BF9A2302-B993-4FE6-931E-F7EBF0D5C1A7}" xr6:coauthVersionLast="47" xr6:coauthVersionMax="47" xr10:uidLastSave="{00000000-0000-0000-0000-000000000000}"/>
  <bookViews>
    <workbookView xWindow="21480" yWindow="-120" windowWidth="29040" windowHeight="15720" xr2:uid="{00000000-000D-0000-FFFF-FFFF00000000}"/>
  </bookViews>
  <sheets>
    <sheet name="交屋租金分算表" sheetId="1" r:id="rId1"/>
    <sheet name="專業稅費分算計算機" sheetId="2" r:id="rId2"/>
    <sheet name="稅率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2" l="1"/>
  <c r="D35" i="2"/>
  <c r="F35" i="2" s="1"/>
  <c r="F34" i="2"/>
  <c r="AA21" i="2"/>
  <c r="AA20" i="2"/>
  <c r="AA18" i="2"/>
  <c r="AA17" i="2"/>
  <c r="AA16" i="2"/>
  <c r="AA13" i="2"/>
  <c r="D13" i="2"/>
  <c r="AA9" i="2"/>
  <c r="G9" i="2" s="1"/>
  <c r="AA8" i="2"/>
  <c r="G8" i="2" s="1"/>
  <c r="AA7" i="2"/>
  <c r="G7" i="2" s="1"/>
  <c r="AA4" i="2"/>
  <c r="AB2" i="2"/>
  <c r="D20" i="2" s="1"/>
  <c r="AA2" i="2"/>
  <c r="AB5" i="2" s="1"/>
  <c r="AB7" i="2" s="1"/>
  <c r="AA1" i="2"/>
  <c r="G2" i="2" s="1"/>
  <c r="D22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D23" i="1" s="1"/>
  <c r="G8" i="1"/>
  <c r="C6" i="1"/>
  <c r="C5" i="1"/>
  <c r="C4" i="1"/>
  <c r="J22" i="1" l="1"/>
  <c r="J28" i="1" s="1"/>
  <c r="D34" i="2" s="1"/>
  <c r="D28" i="1"/>
  <c r="D3" i="2"/>
  <c r="AB21" i="2"/>
  <c r="D32" i="2" s="1"/>
  <c r="AA5" i="2"/>
  <c r="AB10" i="2" s="1"/>
  <c r="B19" i="2" s="1"/>
  <c r="AB22" i="2"/>
  <c r="D33" i="2" s="1"/>
  <c r="D2" i="2"/>
  <c r="G22" i="2"/>
  <c r="AA12" i="2"/>
  <c r="AA14" i="2" s="1"/>
  <c r="AA11" i="2"/>
  <c r="G23" i="2"/>
  <c r="AB24" i="2"/>
  <c r="E32" i="2" s="1"/>
  <c r="F32" i="2" s="1"/>
  <c r="AB25" i="2"/>
  <c r="E33" i="2" s="1"/>
  <c r="F33" i="2" s="1"/>
  <c r="F3" i="2"/>
  <c r="AB4" i="2"/>
  <c r="AB8" i="2"/>
  <c r="AB9" i="2"/>
  <c r="K29" i="1" l="1"/>
  <c r="A29" i="1" s="1"/>
  <c r="E34" i="2"/>
  <c r="D4" i="2"/>
  <c r="AB6" i="2"/>
  <c r="AB3" i="2"/>
  <c r="AB13" i="2"/>
  <c r="C20" i="2" s="1"/>
  <c r="AB11" i="2"/>
  <c r="C19" i="2" s="1"/>
  <c r="AB12" i="2"/>
  <c r="B20" i="2" s="1"/>
  <c r="E20" i="2"/>
  <c r="H20" i="2" s="1"/>
  <c r="D31" i="2"/>
  <c r="E30" i="2"/>
  <c r="AA15" i="2"/>
  <c r="AB1" i="2" s="1"/>
  <c r="D19" i="2" s="1"/>
  <c r="E19" i="2" s="1"/>
  <c r="H19" i="2" l="1"/>
  <c r="D30" i="2"/>
  <c r="E31" i="2"/>
  <c r="E38" i="2" s="1"/>
  <c r="F31" i="2" l="1"/>
  <c r="D38" i="2"/>
  <c r="C39" i="2" s="1"/>
  <c r="F30" i="2"/>
</calcChain>
</file>

<file path=xl/sharedStrings.xml><?xml version="1.0" encoding="utf-8"?>
<sst xmlns="http://schemas.openxmlformats.org/spreadsheetml/2006/main" count="128" uniqueCount="117">
  <si>
    <t>交屋租金分算表 (明細)</t>
  </si>
  <si>
    <t>買方:</t>
  </si>
  <si>
    <t>（請填寫）</t>
  </si>
  <si>
    <t>賣方:</t>
  </si>
  <si>
    <t>房屋地址:</t>
  </si>
  <si>
    <t>(此日期將連動計算下方租金拆分)</t>
  </si>
  <si>
    <t>交屋日算誰的</t>
  </si>
  <si>
    <t>歸賣方</t>
  </si>
  <si>
    <t>計算基準</t>
  </si>
  <si>
    <t>精確分段計算</t>
  </si>
  <si>
    <t>房號/租客</t>
  </si>
  <si>
    <t>租期起</t>
  </si>
  <si>
    <t>租期訖</t>
  </si>
  <si>
    <t>月租金</t>
  </si>
  <si>
    <t>押金</t>
  </si>
  <si>
    <t>租客已繳至</t>
  </si>
  <si>
    <t>賣方補貼買方
(計算詳情)</t>
  </si>
  <si>
    <t>補貼金額</t>
  </si>
  <si>
    <t>買方補貼賣方
(計算詳情)</t>
  </si>
  <si>
    <t>301 (範例)</t>
  </si>
  <si>
    <t>賣方應付項目 (Debits)</t>
  </si>
  <si>
    <t>買方應付項目及費用 (Credits)</t>
  </si>
  <si>
    <t>1. 押金移轉</t>
  </si>
  <si>
    <t>1. 買方補貼賣方 (欠繳租金)</t>
  </si>
  <si>
    <t>2. 賣方補貼買方 (預收租金)</t>
  </si>
  <si>
    <t>2. 機上盒/網路/水電等雜支</t>
  </si>
  <si>
    <t>3. 其他費用 (1)</t>
  </si>
  <si>
    <t>4. 其他費用 (2)</t>
  </si>
  <si>
    <t>5. 其他費用 (3)</t>
  </si>
  <si>
    <t>6. 其他費用 (4)</t>
  </si>
  <si>
    <t>賣方應付小計</t>
  </si>
  <si>
    <t>買方應付小計</t>
  </si>
  <si>
    <t>買方簽章：
__________________________________</t>
  </si>
  <si>
    <t>賣方簽章：
__________________________________</t>
  </si>
  <si>
    <t xml:space="preserve">備註事項：
</t>
  </si>
  <si>
    <t>權狀登記(過戶)日期</t>
  </si>
  <si>
    <t>房地合一稅申報期限</t>
  </si>
  <si>
    <t>房屋點交(交屋)日期</t>
  </si>
  <si>
    <t>是否帶租約交屋</t>
  </si>
  <si>
    <t>否</t>
  </si>
  <si>
    <t>（一）稅額計算模式</t>
  </si>
  <si>
    <t>模式一：多筆地價詳算</t>
  </si>
  <si>
    <t>地號/說明</t>
  </si>
  <si>
    <t>申報地價</t>
  </si>
  <si>
    <t>面積(m²)</t>
  </si>
  <si>
    <t>權利範圍</t>
  </si>
  <si>
    <t>土地類型</t>
  </si>
  <si>
    <t>地價總額</t>
  </si>
  <si>
    <t>土地 1</t>
  </si>
  <si>
    <t>甲地</t>
  </si>
  <si>
    <t>一般用地 (10‰)</t>
  </si>
  <si>
    <t>土地 2</t>
  </si>
  <si>
    <t>土地 3</t>
  </si>
  <si>
    <t>累進起點地價</t>
  </si>
  <si>
    <t>請輸入該縣市累進起點地價，留空則全按基本稅率(10‰)計算。</t>
  </si>
  <si>
    <t>房屋現值</t>
  </si>
  <si>
    <t>1000000</t>
  </si>
  <si>
    <t>房屋使用情境</t>
  </si>
  <si>
    <t>模式二：快速稅額輸入 (若此區有值，將優先採用)</t>
  </si>
  <si>
    <t>年度應納地價稅</t>
  </si>
  <si>
    <t>年度應納房屋稅</t>
  </si>
  <si>
    <t>（二）核心稅費計算</t>
  </si>
  <si>
    <t>項目</t>
  </si>
  <si>
    <t>賣方持有期間</t>
  </si>
  <si>
    <t>買方持有期間</t>
  </si>
  <si>
    <t>年度總稅額</t>
  </si>
  <si>
    <t>找補金額</t>
  </si>
  <si>
    <t>地價稅</t>
  </si>
  <si>
    <t>房屋稅</t>
  </si>
  <si>
    <t>（三）其他費用分算 (公用事業 &amp; 管理費)</t>
  </si>
  <si>
    <t>管理費(月)</t>
  </si>
  <si>
    <t>管理費已預繳至</t>
  </si>
  <si>
    <t>車位費(月)</t>
  </si>
  <si>
    <t>車位費已預繳至</t>
  </si>
  <si>
    <t>水費溢繳</t>
  </si>
  <si>
    <t>電費溢繳</t>
  </si>
  <si>
    <t>瓦斯費溢繳</t>
  </si>
  <si>
    <t>（四）最終結算</t>
  </si>
  <si>
    <t>買方應付給賣方</t>
  </si>
  <si>
    <t>賣方應付給買方</t>
  </si>
  <si>
    <t>詳細計算說明</t>
  </si>
  <si>
    <t>地價稅找補</t>
  </si>
  <si>
    <t>房屋稅找補</t>
  </si>
  <si>
    <t>管理費找補</t>
  </si>
  <si>
    <t>車位費找補</t>
  </si>
  <si>
    <t>租金/押金找補總額</t>
  </si>
  <si>
    <t>水電瓦斯溢繳</t>
  </si>
  <si>
    <t>其他 (買方補貼賣方)</t>
  </si>
  <si>
    <t>手動輸入雙方約定之其他費用 (應付賣方)</t>
  </si>
  <si>
    <t>其他 (賣方補貼買方)</t>
  </si>
  <si>
    <t>手動輸入雙方約定之其他費用 (應付買方)</t>
  </si>
  <si>
    <t>款項小計</t>
  </si>
  <si>
    <t>最終結算結果</t>
  </si>
  <si>
    <t>工具開發：陳定康 (Integrated Version)</t>
  </si>
  <si>
    <t>房屋使用情境選項</t>
  </si>
  <si>
    <t>對應稅率</t>
  </si>
  <si>
    <t>自住用-全國單一自住(現值一定金額下)</t>
  </si>
  <si>
    <t>自住用-全國3戶內</t>
  </si>
  <si>
    <t>公益出租人/社會住宅</t>
  </si>
  <si>
    <t>非自住-出租(達租金標準)/繼承共有-4戶內</t>
  </si>
  <si>
    <t>非自住-出租(達租金標準)/繼承共有-5~6戶</t>
  </si>
  <si>
    <t>非自住-出租(達租金標準)/繼承共有-7戶以上</t>
  </si>
  <si>
    <t>非自住-其他住家用-2戶內</t>
  </si>
  <si>
    <t>非自住-其他住家用-3~4戶</t>
  </si>
  <si>
    <t>非自住-其他住家用-5~6戶</t>
  </si>
  <si>
    <t>非自住-其他住家用-7戶以上</t>
  </si>
  <si>
    <t>營業用</t>
  </si>
  <si>
    <t>私人醫院/診所/事務所用</t>
  </si>
  <si>
    <t>非住家非營業用(人民團體等)</t>
  </si>
  <si>
    <t>1141030</t>
    <phoneticPr fontId="21" type="noConversion"/>
  </si>
  <si>
    <t>1141020</t>
    <phoneticPr fontId="21" type="noConversion"/>
  </si>
  <si>
    <t>1140920</t>
    <phoneticPr fontId="21" type="noConversion"/>
  </si>
  <si>
    <t>1141120</t>
    <phoneticPr fontId="21" type="noConversion"/>
  </si>
  <si>
    <t>不動產買賣稅費分算計算機 (租金獨立版)</t>
    <phoneticPr fontId="21" type="noConversion"/>
  </si>
  <si>
    <t>1/3</t>
    <phoneticPr fontId="21" type="noConversion"/>
  </si>
  <si>
    <r>
      <rPr>
        <sz val="12"/>
        <rFont val="Segoe UI Emoji"/>
        <family val="2"/>
      </rPr>
      <t>⚠️</t>
    </r>
    <r>
      <rPr>
        <sz val="12"/>
        <rFont val="微軟正黑體"/>
        <family val="2"/>
        <charset val="136"/>
      </rPr>
      <t xml:space="preserve"> 租金/押金 計算請至【交屋租金分算表】分頁填寫，結果將自動彙整至下方結算區。</t>
    </r>
    <phoneticPr fontId="21" type="noConversion"/>
  </si>
  <si>
    <t xml:space="preserve">交屋日期 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</si>
</sst>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新細明體"/>
      <family val="2"/>
      <scheme val="minor"/>
    </font>
    <font>
      <b/>
      <sz val="18"/>
      <color rgb="FF1E293B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b/>
      <sz val="11"/>
      <color rgb="FF0F172A"/>
      <name val="微軟正黑體"/>
      <family val="2"/>
      <charset val="136"/>
    </font>
    <font>
      <b/>
      <sz val="10"/>
      <color rgb="FFE11D48"/>
      <name val="微軟正黑體"/>
      <family val="2"/>
      <charset val="136"/>
    </font>
    <font>
      <sz val="9"/>
      <color rgb="FF64748B"/>
      <name val="微軟正黑體"/>
      <family val="2"/>
      <charset val="136"/>
    </font>
    <font>
      <sz val="11"/>
      <color rgb="FF334155"/>
      <name val="微軟正黑體"/>
      <family val="2"/>
      <charset val="136"/>
    </font>
    <font>
      <b/>
      <sz val="10"/>
      <color rgb="FF881337"/>
      <name val="微軟正黑體"/>
      <family val="2"/>
      <charset val="136"/>
    </font>
    <font>
      <b/>
      <sz val="10"/>
      <color rgb="FF064E3B"/>
      <name val="微軟正黑體"/>
      <family val="2"/>
      <charset val="136"/>
    </font>
    <font>
      <b/>
      <sz val="11"/>
      <color rgb="FF1E293B"/>
      <name val="微軟正黑體"/>
      <family val="2"/>
      <charset val="136"/>
    </font>
    <font>
      <b/>
      <sz val="14"/>
      <color rgb="FF9A3412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8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rgb="FFC00000"/>
      <name val="微軟正黑體"/>
      <family val="2"/>
      <charset val="136"/>
    </font>
    <font>
      <sz val="12"/>
      <name val="微軟正黑體"/>
      <family val="2"/>
      <charset val="136"/>
    </font>
    <font>
      <b/>
      <sz val="14"/>
      <name val="微軟正黑體"/>
      <family val="2"/>
      <charset val="136"/>
    </font>
    <font>
      <i/>
      <sz val="11"/>
      <name val="微軟正黑體"/>
      <family val="2"/>
      <charset val="136"/>
    </font>
    <font>
      <b/>
      <sz val="12"/>
      <color rgb="FF0000FF"/>
      <name val="微軟正黑體"/>
      <family val="2"/>
      <charset val="136"/>
    </font>
    <font>
      <b/>
      <sz val="16"/>
      <color rgb="FFC00000"/>
      <name val="微軟正黑體"/>
      <family val="2"/>
      <charset val="136"/>
    </font>
    <font>
      <sz val="10"/>
      <color rgb="FF80808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Segoe UI Emoji"/>
      <family val="2"/>
    </font>
  </fonts>
  <fills count="1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64748B"/>
      </patternFill>
    </fill>
    <fill>
      <patternFill patternType="solid">
        <fgColor rgb="FF059669"/>
      </patternFill>
    </fill>
    <fill>
      <patternFill patternType="solid">
        <fgColor rgb="FFFFF1F2"/>
      </patternFill>
    </fill>
    <fill>
      <patternFill patternType="solid">
        <fgColor rgb="FFECFDF5"/>
      </patternFill>
    </fill>
    <fill>
      <patternFill patternType="solid">
        <fgColor rgb="FFE11D48"/>
      </patternFill>
    </fill>
    <fill>
      <patternFill patternType="solid">
        <fgColor rgb="FFFFEDD5"/>
      </patternFill>
    </fill>
    <fill>
      <patternFill patternType="solid">
        <fgColor rgb="FFD7E9D1"/>
        <bgColor rgb="FFD7E9D1"/>
      </patternFill>
    </fill>
    <fill>
      <patternFill patternType="solid">
        <fgColor rgb="FFFCE4D6"/>
        <bgColor rgb="FFFCE4D6"/>
      </patternFill>
    </fill>
    <fill>
      <patternFill patternType="solid">
        <fgColor rgb="FFE7E6E6"/>
        <bgColor rgb="FFE7E6E6"/>
      </patternFill>
    </fill>
    <fill>
      <patternFill patternType="solid">
        <fgColor rgb="FFFFFFE0"/>
        <bgColor rgb="FFFFFFE0"/>
      </patternFill>
    </fill>
    <fill>
      <patternFill patternType="solid">
        <fgColor rgb="FFEAF1FF"/>
        <bgColor rgb="FFEAF1FF"/>
      </patternFill>
    </fill>
    <fill>
      <patternFill patternType="solid">
        <fgColor rgb="FFE2EFDA"/>
        <bgColor rgb="FFE2EFDA"/>
      </patternFill>
    </fill>
    <fill>
      <patternFill patternType="solid">
        <fgColor rgb="FFDEEBF7"/>
        <bgColor rgb="FFDEEBF7"/>
      </patternFill>
    </fill>
    <fill>
      <patternFill patternType="solid">
        <fgColor rgb="FFFFF2E6"/>
        <bgColor rgb="FFFFF2E6"/>
      </patternFill>
    </fill>
  </fills>
  <borders count="2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334155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ck">
        <color rgb="FF334155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ck">
        <color rgb="FF334155"/>
      </bottom>
      <diagonal/>
    </border>
    <border>
      <left style="thin">
        <color rgb="FFCBD5E1"/>
      </left>
      <right style="medium">
        <color rgb="FF334155"/>
      </right>
      <top style="thick">
        <color rgb="FF334155"/>
      </top>
      <bottom style="thin">
        <color rgb="FFCBD5E1"/>
      </bottom>
      <diagonal/>
    </border>
    <border>
      <left style="thin">
        <color rgb="FFCBD5E1"/>
      </left>
      <right style="medium">
        <color rgb="FF334155"/>
      </right>
      <top style="thin">
        <color rgb="FFCBD5E1"/>
      </top>
      <bottom style="thick">
        <color rgb="FF334155"/>
      </bottom>
      <diagonal/>
    </border>
    <border>
      <left style="thick">
        <color rgb="FF334155"/>
      </left>
      <right style="thin">
        <color rgb="FFCBD5E1"/>
      </right>
      <top style="thick">
        <color rgb="FF334155"/>
      </top>
      <bottom style="thin">
        <color rgb="FFCBD5E1"/>
      </bottom>
      <diagonal/>
    </border>
    <border>
      <left style="thin">
        <color rgb="FFCBD5E1"/>
      </left>
      <right style="thick">
        <color rgb="FF334155"/>
      </right>
      <top style="thick">
        <color rgb="FF334155"/>
      </top>
      <bottom style="thin">
        <color rgb="FFCBD5E1"/>
      </bottom>
      <diagonal/>
    </border>
    <border>
      <left style="thick">
        <color rgb="FF334155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ck">
        <color rgb="FF334155"/>
      </right>
      <top style="thin">
        <color rgb="FFCBD5E1"/>
      </top>
      <bottom style="thin">
        <color rgb="FFCBD5E1"/>
      </bottom>
      <diagonal/>
    </border>
    <border>
      <left style="thick">
        <color rgb="FF334155"/>
      </left>
      <right style="thin">
        <color rgb="FFCBD5E1"/>
      </right>
      <top style="thin">
        <color rgb="FFCBD5E1"/>
      </top>
      <bottom style="thick">
        <color rgb="FF334155"/>
      </bottom>
      <diagonal/>
    </border>
    <border>
      <left style="thin">
        <color rgb="FFCBD5E1"/>
      </left>
      <right style="thick">
        <color rgb="FF334155"/>
      </right>
      <top style="thin">
        <color rgb="FFCBD5E1"/>
      </top>
      <bottom style="thick">
        <color rgb="FF334155"/>
      </bottom>
      <diagonal/>
    </border>
    <border>
      <left/>
      <right/>
      <top style="thick">
        <color rgb="FF334155"/>
      </top>
      <bottom/>
      <diagonal/>
    </border>
    <border>
      <left/>
      <right/>
      <top/>
      <bottom style="thick">
        <color rgb="FF334155"/>
      </bottom>
      <diagonal/>
    </border>
    <border>
      <left/>
      <right style="thick">
        <color rgb="FF334155"/>
      </right>
      <top style="thick">
        <color rgb="FF334155"/>
      </top>
      <bottom/>
      <diagonal/>
    </border>
    <border>
      <left style="thick">
        <color rgb="FF334155"/>
      </left>
      <right/>
      <top/>
      <bottom/>
      <diagonal/>
    </border>
    <border>
      <left/>
      <right/>
      <top style="thick">
        <color rgb="FF334155"/>
      </top>
      <bottom style="thick">
        <color rgb="FF334155"/>
      </bottom>
      <diagonal/>
    </border>
    <border>
      <left style="thick">
        <color rgb="FF334155"/>
      </left>
      <right style="thin">
        <color rgb="FFCBD5E1"/>
      </right>
      <top style="thick">
        <color rgb="FF334155"/>
      </top>
      <bottom style="thick">
        <color rgb="FF334155"/>
      </bottom>
      <diagonal/>
    </border>
    <border>
      <left/>
      <right style="thick">
        <color rgb="FF334155"/>
      </right>
      <top style="thick">
        <color rgb="FF334155"/>
      </top>
      <bottom style="thick">
        <color rgb="FF334155"/>
      </bottom>
      <diagonal/>
    </border>
    <border>
      <left/>
      <right style="thick">
        <color rgb="FF334155"/>
      </right>
      <top/>
      <bottom/>
      <diagonal/>
    </border>
    <border>
      <left style="thick">
        <color rgb="FF334155"/>
      </left>
      <right/>
      <top/>
      <bottom style="thick">
        <color rgb="FF334155"/>
      </bottom>
      <diagonal/>
    </border>
    <border>
      <left/>
      <right style="thick">
        <color rgb="FF334155"/>
      </right>
      <top/>
      <bottom style="thick">
        <color rgb="FF3341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CBD5E1"/>
      </left>
      <right/>
      <top/>
      <bottom style="thick">
        <color rgb="FF334155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3" fontId="8" fillId="8" borderId="12" xfId="0" applyNumberFormat="1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3" fontId="7" fillId="7" borderId="6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3" fontId="8" fillId="8" borderId="14" xfId="0" applyNumberFormat="1" applyFont="1" applyFill="1" applyBorder="1" applyAlignment="1">
      <alignment horizontal="center" vertical="center" wrapText="1"/>
    </xf>
    <xf numFmtId="3" fontId="7" fillId="0" borderId="12" xfId="0" applyNumberFormat="1" applyFont="1" applyBorder="1" applyAlignment="1">
      <alignment horizontal="right" vertical="center" wrapText="1"/>
    </xf>
    <xf numFmtId="3" fontId="8" fillId="0" borderId="12" xfId="0" applyNumberFormat="1" applyFont="1" applyBorder="1" applyAlignment="1">
      <alignment horizontal="right" vertical="center" wrapText="1"/>
    </xf>
    <xf numFmtId="3" fontId="9" fillId="4" borderId="14" xfId="0" applyNumberFormat="1" applyFont="1" applyFill="1" applyBorder="1" applyAlignment="1">
      <alignment horizontal="right" vertical="center" wrapText="1"/>
    </xf>
    <xf numFmtId="0" fontId="13" fillId="12" borderId="25" xfId="0" applyFont="1" applyFill="1" applyBorder="1" applyAlignment="1">
      <alignment horizontal="center" vertical="center" wrapText="1"/>
    </xf>
    <xf numFmtId="0" fontId="0" fillId="0" borderId="25" xfId="0" applyBorder="1"/>
    <xf numFmtId="0" fontId="13" fillId="13" borderId="25" xfId="0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right" vertical="center" wrapText="1"/>
    </xf>
    <xf numFmtId="3" fontId="0" fillId="0" borderId="25" xfId="0" applyNumberForma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16" borderId="25" xfId="0" applyFont="1" applyFill="1" applyBorder="1" applyAlignment="1">
      <alignment horizontal="center" vertical="center" wrapText="1"/>
    </xf>
    <xf numFmtId="3" fontId="15" fillId="0" borderId="25" xfId="0" applyNumberFormat="1" applyFont="1" applyBorder="1" applyAlignment="1">
      <alignment horizontal="center" vertical="center" wrapText="1"/>
    </xf>
    <xf numFmtId="0" fontId="15" fillId="0" borderId="25" xfId="0" applyFont="1" applyBorder="1" applyAlignment="1">
      <alignment horizontal="left" vertical="top" wrapText="1"/>
    </xf>
    <xf numFmtId="0" fontId="15" fillId="17" borderId="25" xfId="0" applyFont="1" applyFill="1" applyBorder="1" applyAlignment="1">
      <alignment horizontal="center" vertical="center" wrapText="1"/>
    </xf>
    <xf numFmtId="3" fontId="18" fillId="0" borderId="25" xfId="0" applyNumberFormat="1" applyFont="1" applyBorder="1" applyAlignment="1">
      <alignment horizontal="center" vertical="center" wrapText="1"/>
    </xf>
    <xf numFmtId="3" fontId="14" fillId="0" borderId="25" xfId="0" applyNumberFormat="1" applyFont="1" applyBorder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0" fillId="0" borderId="19" xfId="0" applyBorder="1"/>
    <xf numFmtId="0" fontId="0" fillId="0" borderId="21" xfId="0" applyBorder="1"/>
    <xf numFmtId="0" fontId="10" fillId="10" borderId="20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7" xfId="0" applyBorder="1"/>
    <xf numFmtId="0" fontId="0" fillId="0" borderId="16" xfId="0" applyBorder="1"/>
    <xf numFmtId="0" fontId="2" fillId="6" borderId="9" xfId="0" applyFont="1" applyFill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9" fillId="4" borderId="13" xfId="0" applyFont="1" applyFill="1" applyBorder="1" applyAlignment="1">
      <alignment horizontal="right" vertical="center" wrapText="1"/>
    </xf>
    <xf numFmtId="0" fontId="2" fillId="9" borderId="9" xfId="0" applyFont="1" applyFill="1" applyBorder="1" applyAlignment="1">
      <alignment horizontal="left" vertical="center" wrapText="1"/>
    </xf>
    <xf numFmtId="0" fontId="0" fillId="0" borderId="25" xfId="0" applyBorder="1"/>
    <xf numFmtId="3" fontId="15" fillId="0" borderId="25" xfId="0" applyNumberFormat="1" applyFont="1" applyBorder="1" applyAlignment="1">
      <alignment horizontal="center" vertical="center" wrapText="1"/>
    </xf>
    <xf numFmtId="0" fontId="17" fillId="0" borderId="25" xfId="0" applyFont="1" applyBorder="1" applyAlignment="1">
      <alignment horizontal="left" vertical="top" wrapText="1"/>
    </xf>
    <xf numFmtId="0" fontId="14" fillId="12" borderId="25" xfId="0" applyFont="1" applyFill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right" vertical="center" wrapText="1"/>
    </xf>
    <xf numFmtId="0" fontId="15" fillId="0" borderId="25" xfId="0" applyFont="1" applyBorder="1" applyAlignment="1">
      <alignment horizontal="left" vertical="center" wrapText="1"/>
    </xf>
    <xf numFmtId="0" fontId="19" fillId="18" borderId="26" xfId="0" applyFont="1" applyFill="1" applyBorder="1" applyAlignment="1">
      <alignment horizontal="center" vertical="center" wrapText="1"/>
    </xf>
    <xf numFmtId="0" fontId="0" fillId="0" borderId="26" xfId="0" applyBorder="1"/>
    <xf numFmtId="0" fontId="12" fillId="11" borderId="0" xfId="0" applyFont="1" applyFill="1" applyAlignment="1">
      <alignment horizontal="center" vertical="center" wrapText="1"/>
    </xf>
    <xf numFmtId="10" fontId="0" fillId="0" borderId="25" xfId="0" applyNumberFormat="1" applyBorder="1"/>
    <xf numFmtId="0" fontId="13" fillId="13" borderId="25" xfId="0" applyFont="1" applyFill="1" applyBorder="1" applyAlignment="1">
      <alignment horizontal="center" vertical="center" wrapText="1"/>
    </xf>
    <xf numFmtId="0" fontId="15" fillId="13" borderId="25" xfId="0" applyFont="1" applyFill="1" applyBorder="1" applyAlignment="1">
      <alignment horizontal="right" vertical="center" wrapText="1"/>
    </xf>
    <xf numFmtId="0" fontId="14" fillId="0" borderId="25" xfId="0" applyFont="1" applyBorder="1" applyAlignment="1">
      <alignment horizontal="center" vertical="center" wrapText="1"/>
    </xf>
    <xf numFmtId="0" fontId="16" fillId="18" borderId="26" xfId="0" applyFont="1" applyFill="1" applyBorder="1" applyAlignment="1">
      <alignment horizontal="center" vertical="center" wrapText="1"/>
    </xf>
    <xf numFmtId="0" fontId="16" fillId="13" borderId="2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right" vertical="center" wrapText="1"/>
    </xf>
    <xf numFmtId="0" fontId="13" fillId="0" borderId="25" xfId="0" applyFont="1" applyBorder="1" applyAlignment="1">
      <alignment horizontal="left" vertical="center" wrapText="1"/>
    </xf>
    <xf numFmtId="0" fontId="15" fillId="18" borderId="25" xfId="0" applyFont="1" applyFill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49" fontId="15" fillId="14" borderId="2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5" xfId="0" applyBorder="1" applyProtection="1">
      <protection locked="0"/>
    </xf>
    <xf numFmtId="0" fontId="0" fillId="14" borderId="25" xfId="0" applyFill="1" applyBorder="1" applyAlignment="1" applyProtection="1">
      <alignment horizontal="center" vertical="center" wrapText="1"/>
      <protection locked="0"/>
    </xf>
    <xf numFmtId="49" fontId="0" fillId="14" borderId="25" xfId="0" applyNumberFormat="1" applyFill="1" applyBorder="1" applyAlignment="1" applyProtection="1">
      <alignment horizontal="center" vertical="center" wrapText="1"/>
      <protection locked="0"/>
    </xf>
    <xf numFmtId="3" fontId="0" fillId="14" borderId="25" xfId="0" applyNumberFormat="1" applyFill="1" applyBorder="1" applyAlignment="1" applyProtection="1">
      <alignment horizontal="center" vertical="center" wrapText="1"/>
      <protection locked="0"/>
    </xf>
    <xf numFmtId="3" fontId="0" fillId="15" borderId="25" xfId="0" applyNumberFormat="1" applyFill="1" applyBorder="1" applyProtection="1">
      <protection locked="0"/>
    </xf>
    <xf numFmtId="0" fontId="0" fillId="0" borderId="0" xfId="0" applyProtection="1">
      <protection locked="0"/>
    </xf>
    <xf numFmtId="0" fontId="15" fillId="14" borderId="25" xfId="0" applyFont="1" applyFill="1" applyBorder="1" applyAlignment="1" applyProtection="1">
      <alignment horizontal="right" vertical="center" wrapText="1"/>
      <protection locked="0"/>
    </xf>
    <xf numFmtId="49" fontId="15" fillId="14" borderId="25" xfId="0" applyNumberFormat="1" applyFont="1" applyFill="1" applyBorder="1" applyAlignment="1" applyProtection="1">
      <alignment horizontal="right" vertical="center" wrapText="1"/>
      <protection locked="0"/>
    </xf>
    <xf numFmtId="0" fontId="15" fillId="0" borderId="25" xfId="0" applyFont="1" applyBorder="1" applyAlignment="1" applyProtection="1">
      <alignment horizontal="right" vertical="center" wrapText="1"/>
      <protection locked="0"/>
    </xf>
    <xf numFmtId="3" fontId="18" fillId="14" borderId="25" xfId="0" applyNumberFormat="1" applyFont="1" applyFill="1" applyBorder="1" applyAlignment="1" applyProtection="1">
      <alignment horizontal="center" vertical="center" wrapText="1"/>
      <protection locked="0"/>
    </xf>
    <xf numFmtId="3" fontId="14" fillId="14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1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6" fillId="3" borderId="11" xfId="0" applyFont="1" applyFill="1" applyBorder="1" applyAlignment="1" applyProtection="1">
      <alignment horizontal="center" vertical="center" wrapText="1"/>
      <protection locked="0"/>
    </xf>
    <xf numFmtId="1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1" fontId="6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13" xfId="0" applyFont="1" applyFill="1" applyBorder="1" applyAlignment="1" applyProtection="1">
      <alignment horizontal="center" vertical="center" wrapText="1"/>
      <protection locked="0"/>
    </xf>
    <xf numFmtId="1" fontId="6" fillId="3" borderId="6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6" xfId="0" applyNumberFormat="1" applyFont="1" applyFill="1" applyBorder="1" applyAlignment="1" applyProtection="1">
      <alignment horizontal="center" vertical="center" wrapText="1"/>
      <protection locked="0"/>
    </xf>
    <xf numFmtId="1" fontId="6" fillId="3" borderId="8" xfId="0" applyNumberFormat="1" applyFont="1" applyFill="1" applyBorder="1" applyAlignment="1" applyProtection="1">
      <alignment horizontal="center" vertical="center" wrapText="1"/>
      <protection locked="0"/>
    </xf>
    <xf numFmtId="3" fontId="7" fillId="3" borderId="12" xfId="0" applyNumberFormat="1" applyFont="1" applyFill="1" applyBorder="1" applyAlignment="1" applyProtection="1">
      <alignment horizontal="right" vertical="center" wrapText="1"/>
      <protection locked="0"/>
    </xf>
    <xf numFmtId="0" fontId="6" fillId="3" borderId="18" xfId="0" applyFont="1" applyFill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6" fillId="0" borderId="18" xfId="0" applyFont="1" applyBorder="1" applyAlignment="1" applyProtection="1">
      <alignment horizontal="left" vertical="center" wrapText="1"/>
      <protection locked="0"/>
    </xf>
    <xf numFmtId="3" fontId="8" fillId="3" borderId="12" xfId="0" applyNumberFormat="1" applyFont="1" applyFill="1" applyBorder="1" applyAlignment="1" applyProtection="1">
      <alignment horizontal="right" vertical="center" wrapText="1"/>
      <protection locked="0"/>
    </xf>
    <xf numFmtId="0" fontId="11" fillId="0" borderId="20" xfId="0" applyFont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21" xfId="0" applyBorder="1" applyProtection="1">
      <protection locked="0"/>
    </xf>
    <xf numFmtId="0" fontId="6" fillId="0" borderId="9" xfId="0" applyFont="1" applyBorder="1" applyAlignment="1" applyProtection="1">
      <alignment horizontal="left" vertical="top" wrapText="1"/>
      <protection locked="0"/>
    </xf>
    <xf numFmtId="0" fontId="0" fillId="0" borderId="15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24" xfId="0" applyBorder="1" applyProtection="1">
      <protection locked="0"/>
    </xf>
    <xf numFmtId="0" fontId="1" fillId="0" borderId="28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showGridLines="0" tabSelected="1" zoomScale="85" zoomScaleNormal="85" workbookViewId="0">
      <selection activeCell="M7" sqref="M7"/>
    </sheetView>
  </sheetViews>
  <sheetFormatPr defaultRowHeight="15" x14ac:dyDescent="0.3"/>
  <cols>
    <col min="1" max="1" width="19.75" customWidth="1"/>
    <col min="2" max="2" width="17" customWidth="1"/>
    <col min="3" max="3" width="16" customWidth="1"/>
    <col min="4" max="4" width="14" customWidth="1"/>
    <col min="5" max="5" width="13.875" customWidth="1"/>
    <col min="6" max="6" width="13.25" customWidth="1"/>
    <col min="7" max="7" width="43" customWidth="1"/>
    <col min="8" max="8" width="12" customWidth="1"/>
    <col min="9" max="9" width="46.5" customWidth="1"/>
    <col min="10" max="10" width="12" customWidth="1"/>
  </cols>
  <sheetData>
    <row r="1" spans="1:16" ht="34.950000000000003" customHeight="1" x14ac:dyDescent="0.3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16" ht="25.05" customHeight="1" x14ac:dyDescent="0.3">
      <c r="A2" s="1" t="s">
        <v>1</v>
      </c>
      <c r="B2" s="80" t="s">
        <v>2</v>
      </c>
      <c r="C2" s="81"/>
      <c r="D2" s="81"/>
      <c r="E2" s="82"/>
      <c r="F2" s="1" t="s">
        <v>3</v>
      </c>
      <c r="G2" s="80" t="s">
        <v>2</v>
      </c>
      <c r="H2" s="81"/>
      <c r="I2" s="81"/>
      <c r="J2" s="82"/>
    </row>
    <row r="3" spans="1:16" ht="25.05" customHeight="1" x14ac:dyDescent="0.3">
      <c r="A3" s="1" t="s">
        <v>4</v>
      </c>
      <c r="B3" s="80" t="s">
        <v>2</v>
      </c>
      <c r="C3" s="81"/>
      <c r="D3" s="81"/>
      <c r="E3" s="81"/>
      <c r="F3" s="81"/>
      <c r="G3" s="81"/>
      <c r="H3" s="81"/>
      <c r="I3" s="81"/>
      <c r="J3" s="82"/>
    </row>
    <row r="4" spans="1:16" ht="25.05" customHeight="1" x14ac:dyDescent="0.3">
      <c r="A4" s="1" t="s">
        <v>116</v>
      </c>
      <c r="B4" s="83">
        <v>1140922</v>
      </c>
      <c r="C4" s="2" t="str">
        <f>IF(B4="","", TEXT(DATE(1911+LEFT(B4,3),MID(B4,4,2),RIGHT(B4,2)),"yyyy/mm/dd"))</f>
        <v>2025/09/22</v>
      </c>
      <c r="D4" s="34" t="s">
        <v>5</v>
      </c>
      <c r="E4" s="33"/>
      <c r="F4" s="33"/>
      <c r="G4" s="33"/>
      <c r="H4" s="33"/>
      <c r="I4" s="33"/>
      <c r="J4" s="33"/>
    </row>
    <row r="5" spans="1:16" ht="25.05" customHeight="1" x14ac:dyDescent="0.3">
      <c r="A5" s="1" t="s">
        <v>6</v>
      </c>
      <c r="B5" s="84" t="s">
        <v>7</v>
      </c>
      <c r="C5" s="43" t="str">
        <f>"⚖️ 權益切割：交屋日當天歸 " &amp; RIGHT(B5,2)</f>
        <v>⚖️ 權益切割：交屋日當天歸 賣方</v>
      </c>
      <c r="D5" s="33"/>
      <c r="E5" s="33"/>
    </row>
    <row r="6" spans="1:16" ht="25.05" customHeight="1" thickBot="1" x14ac:dyDescent="0.35">
      <c r="A6" s="1" t="s">
        <v>8</v>
      </c>
      <c r="B6" s="3" t="s">
        <v>9</v>
      </c>
      <c r="C6" s="66" t="str">
        <f>"📊 規則：依該月實際天數計算 (例：9月除以30、10月除以31)，精確反映日租金權重。"</f>
        <v>📊 規則：依該月實際天數計算 (例：9月除以30、10月除以31)，精確反映日租金權重。</v>
      </c>
      <c r="D6" s="67"/>
      <c r="E6" s="67"/>
      <c r="F6" s="67"/>
      <c r="G6" s="67"/>
      <c r="H6" s="67"/>
    </row>
    <row r="7" spans="1:16" ht="40.049999999999997" customHeight="1" thickTop="1" x14ac:dyDescent="0.3">
      <c r="A7" s="4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6" t="s">
        <v>15</v>
      </c>
      <c r="G7" s="7" t="s">
        <v>16</v>
      </c>
      <c r="H7" s="5" t="s">
        <v>17</v>
      </c>
      <c r="I7" s="7" t="s">
        <v>18</v>
      </c>
      <c r="J7" s="8" t="s">
        <v>17</v>
      </c>
    </row>
    <row r="8" spans="1:16" ht="49.95" customHeight="1" x14ac:dyDescent="0.3">
      <c r="A8" s="85" t="s">
        <v>19</v>
      </c>
      <c r="B8" s="86">
        <v>1140915</v>
      </c>
      <c r="C8" s="86">
        <v>1141014</v>
      </c>
      <c r="D8" s="87">
        <v>28300</v>
      </c>
      <c r="E8" s="87">
        <v>52000</v>
      </c>
      <c r="F8" s="88">
        <v>1140810</v>
      </c>
      <c r="G8" s="9" t="str">
        <f t="shared" ref="G8:G19" si="0">IF(AND(D8&lt;&gt;"", F8&lt;&gt;""), IF((DATE(1911+LEFT(IF(F8="", IF($B$4="", 1140101, $B$4), F8),3),MID(IF(F8="", IF($B$4="", 1140101, $B$4), F8),4,2),RIGHT(IF(F8="", IF($B$4="", 1140101, $B$4), F8),2))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$B$4),2))+1),0)=EOMONTH(DATE(1911+LEFT(IF(F8="", IF($B$4="", 1140101, $B$4), F8),3),MID(IF(F8="", IF($B$4="", 1140101, $B$4), F8),4,2),RIGHT(IF(F8="", IF($B$4="", 1140101, $B$4), F8),2)),0)),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TEXT(DATE(1911+LEFT(IF(F8="", IF($B$4="", 1140101, $B$4), F8),3),MID(IF(F8="", IF($B$4="", 1140101, $B$4), F8),4,2),RIGHT(IF(F8="", IF($B$4="", 1140101, $B$4), F8),2)), "mm/dd") &amp; " (" &amp; (DATE(1911+LEFT(IF(F8="",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D8 &amp; "×(" &amp; (DATE(1911+LEFT(IF(F8="",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TEXT(DATE(1911+LEFT(IF(F8="", IF($B$4="", 1140101, $B$4), F8),3),MID(IF(F8="", IF($B$4="", 1140101, $B$4), F8),4,2),RIGHT(IF(F8="", IF($B$4="", 1140101, $B$4), F8),2)), "mm/dd") &amp; " (" &amp; (DATE(1911+LEFT(IF(F8="",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IF(((YEAR(DATE(1911+LEFT(IF(F8="", IF($B$4="", 1140101, $B$4), F8),3),MID(IF(F8="", IF($B$4="", 1140101, $B$4), F8),4,2),RIGHT(IF(F8="", IF($B$4="", 1140101, $B$4), F8),2)))-YEAR(IF($B$5="歸買方",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MONTH(DATE(1911+LEFT(IF(F8="", IF($B$4="", 1140101, $B$4), F8),3),MID(IF(F8="", IF($B$4="", 1140101, $B$4), F8),4,2),RIGHT(IF(F8="", IF($B$4="", 1140101, $B$4), F8),2)))-MONTH(IF($B$5="歸買方",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D8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D8 &amp; "×(" &amp; DAY(DATE(1911+LEFT(IF(F8="", IF($B$4="", 1140101, $B$4), F8),3),MID(IF(F8="", IF($B$4="", 1140101, $B$4), F8),4,2),RIGHT(IF(F8="", IF($B$4="", 1140101, $B$4), F8),2))) &amp; "/" &amp; DAY(EOMONTH(DATE(1911+LEFT(IF(F8="", IF($B$4="", 1140101, $B$4), F8),3),MID(IF(F8="", IF($B$4="", 1140101, $B$4), F8),4,2),RIGHT(IF(F8="", IF($B$4="", 1140101, $B$4), F8),2)),0)) &amp; ")"  &amp; " +...",  "$" &amp; D8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D8 &amp; "×(" &amp; DAY(DATE(1911+LEFT(IF(F8="", IF($B$4="", 1140101, $B$4), F8),3),MID(IF(F8="", IF($B$4="", 1140101, $B$4), F8),4,2),RIGHT(IF(F8="", IF($B$4="", 1140101, $B$4), F8),2))) &amp; "/" &amp; DAY(EOMONTH(DATE(1911+LEFT(IF(F8="", IF($B$4="", 1140101, $B$4), F8),3),MID(IF(F8="", IF($B$4="", 1140101, $B$4), F8),4,2),RIGHT(IF(F8="", IF($B$4="", 1140101, $B$4), F8),2)),0)) &amp; ")" )  ), ""), "")</f>
        <v/>
      </c>
      <c r="H8" s="10">
        <f t="shared" ref="H8:H19" si="1">IF(AND(D8&lt;&gt;"", F8&lt;&gt;""), IF((DATE(1911+LEFT(IF(F8="", IF($B$4="", 1140101, $B$4), F8),3),MID(IF(F8="", IF($B$4="", 1140101, $B$4), F8),4,2),RIGHT(IF(F8="", IF($B$4="", 1140101, $B$4), F8),2))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ROUND(D8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$B$4),2))+1),0)=EOMONTH(DATE(1911+LEFT(IF(F8="", IF($B$4="", 1140101, $B$4), F8),3),MID(IF(F8="", IF($B$4="", 1140101, $B$4), F8),4,2),RIGHT(IF(F8="", IF($B$4="", 1140101, $B$4), F8),2)),0)), ((DATE(1911+LEFT(IF(F8="",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(DAY(DATE(1911+LEFT(IF(F8="", IF($B$4="", 1140101, $B$4), F8),3),MID(IF(F8="", IF($B$4="", 1140101, $B$4), F8),4,2),RIGHT(IF(F8="", IF($B$4="", 1140101, $B$4), F8),2)))/DAY(EOMONTH(DATE(1911+LEFT(IF(F8="", IF($B$4="", 1140101, $B$4), F8),3),MID(IF(F8="", IF($B$4="", 1140101, $B$4), F8),4,2),RIGHT(IF(F8="", IF($B$4="", 1140101, $B$4), F8),2)),0))) + MAX(0, (YEAR(DATE(1911+LEFT(IF(F8="", IF($B$4="", 1140101, $B$4), F8),3),MID(IF(F8="", IF($B$4="", 1140101, $B$4), F8),4,2),RIGHT(IF(F8="", IF($B$4="", 1140101, $B$4), F8),2)))-YEAR(IF($B$5="歸買方",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MONTH(DATE(1911+LEFT(IF(F8="", IF($B$4="", 1140101, $B$4), F8),3),MID(IF(F8="", IF($B$4="", 1140101, $B$4), F8),4,2),RIGHT(IF(F8="", IF($B$4="", 1140101, $B$4), F8),2)))-MONTH(IF($B$5="歸買方",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>0</v>
      </c>
      <c r="I8" s="11" t="str">
        <f t="shared" ref="I8:I19" si="2">IF(AND(D8&lt;&gt;"", F8&lt;&gt;""),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DATE(1911+LEFT(IF(F8="", IF($B$4="", 1140101, $B$4), F8),3),MID(IF(F8="", IF($B$4="", 1140101, $B$4), F8),4,2),RIGHT(IF(F8="", IF($B$4="", 1140101, $B$4), F8),2)) + 1), IF((EOMONTH((DATE(1911+LEFT(IF(F8="", IF($B$4="", 1140101, $B$4), F8),3),MID(IF(F8="", IF($B$4="", 1140101, $B$4), F8),4,2),RIGHT(IF(F8="", IF($B$4="", 1140101, $B$4), F8),2))+1),0)=EOMONTH((IF($B$5="歸買方",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TEXT((DATE(1911+LEFT(IF(F8="", IF($B$4="", 1140101, $B$4), F8),3),MID(IF(F8="", IF($B$4="", 1140101, $B$4), F8),4,2),RIGHT(IF(F8="", IF($B$4="", 1140101, $B$4), F8),2))+1),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 &amp; "天)" &amp; CHAR(10) &amp;  "$" &amp; D8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 &amp; "/" &amp; DAY(EOMONTH((DATE(1911+LEFT(IF(F8="", IF($B$4="", 1140101, $B$4), F8),3),MID(IF(F8="", IF($B$4="", 1140101, $B$4), F8),4,2),RIGHT(IF(F8="", IF($B$4="", 1140101, $B$4), F8),2))+1),0)) &amp; ")",  TEXT((DATE(1911+LEFT(IF(F8="", IF($B$4="", 1140101, $B$4), F8),3),MID(IF(F8="", IF($B$4="", 1140101, $B$4), F8),4,2),RIGHT(IF(F8="", IF($B$4="", 1140101, $B$4), F8),2))+1),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$B$4),2))+1)-1))-YEAR((DATE(1911+LEFT(IF(F8="", IF($B$4="", 1140101, $B$4), F8),3),MID(IF(F8="", IF($B$4="", 1140101, $B$4), F8),4,2),RIGHT(IF(F8="", IF($B$4="", 1140101, $B$4), F8),2))+1)))*12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$B$4),2))+1)-1))-MONTH((DATE(1911+LEFT(IF(F8="", IF($B$4="", 1140101, $B$4), F8),3),MID(IF(F8="", IF($B$4="", 1140101, $B$4), F8),4,2),RIGHT(IF(F8="", IF($B$4="", 1140101, $B$4), F8),2))+1)) &gt; 1),  "$" &amp; D8 &amp; "×(" &amp; (EOMONTH((DATE(1911+LEFT(IF(F8="", IF($B$4="", 1140101, $B$4), F8),3),MID(IF(F8="", IF($B$4="", 1140101, $B$4), F8),4,2),RIGHT(IF(F8="", IF($B$4="", 1140101, $B$4), F8),2))+1),0)-(DATE(1911+LEFT(IF(F8="", IF($B$4="", 1140101, $B$4), F8),3),MID(IF(F8="", IF($B$4="", 1140101, $B$4), F8),4,2),RIGHT(IF(F8="", IF($B$4="", 1140101, $B$4), F8),2))+1)+1) &amp; "/" &amp; DAY(EOMONTH((DATE(1911+LEFT(IF(F8="", IF($B$4="", 1140101, $B$4), F8),3),MID(IF(F8="", IF($B$4="", 1140101, $B$4), F8),4,2),RIGHT(IF(F8="", IF($B$4="", 1140101, $B$4), F8),2))+1),0)) &amp; ") + $" &amp; D8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D8 &amp; "×(" &amp; (EOMONTH((DATE(1911+LEFT(IF(F8="", IF($B$4="", 1140101, $B$4), F8),3),MID(IF(F8="", IF($B$4="", 1140101, $B$4), F8),4,2),RIGHT(IF(F8="", IF($B$4="", 1140101, $B$4), F8),2))+1),0)-(DATE(1911+LEFT(IF(F8="", IF($B$4="", 1140101, $B$4), F8),3),MID(IF(F8="", IF($B$4="", 1140101, $B$4), F8),4,2),RIGHT(IF(F8="", IF($B$4="", 1140101, $B$4), F8),2))+1)+1) &amp; "/" &amp; DAY(EOMONTH((DATE(1911+LEFT(IF(F8="", IF($B$4="", 1140101, $B$4), F8),3),MID(IF(F8="", IF($B$4="", 1140101, $B$4), F8),4,2),RIGHT(IF(F8="", IF($B$4="", 1140101, $B$4), F8),2))+1),0)) &amp; ") + $" &amp; D8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>08/11~09/22 (43天)
$28300×(21/31) + $28300×(22/30)</v>
      </c>
      <c r="J8" s="12">
        <f t="shared" ref="J8:J19" si="3">IF(AND(D8&lt;&gt;"", F8&lt;&gt;""),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DATE(1911+LEFT(IF(F8="", IF($B$4="", 1140101, $B$4), F8),3),MID(IF(F8="", IF($B$4="", 1140101, $B$4), F8),4,2),RIGHT(IF(F8="", IF($B$4="", 1140101, $B$4), F8),2)) + 1), ROUND(D8 * IF((EOMONTH((DATE(1911+LEFT(IF(F8="", IF($B$4="", 1140101, $B$4), F8),3),MID(IF(F8="", IF($B$4="", 1140101, $B$4), F8),4,2),RIGHT(IF(F8="", IF($B$4="", 1140101, $B$4), F8),2))+1),0)=EOMONTH((IF($B$5="歸買方",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F8),2))+1)+1)/DAY(EOMONTH((DATE(1911+LEFT(IF(F8="", IF($B$4="", 1140101, $B$4), F8),3),MID(IF(F8="", IF($B$4="", 1140101, $B$4), F8),4,2),RIGHT(IF(F8="", IF($B$4="", 1140101, $B$4), F8),2))+1),0))), (((EOMONTH((DATE(1911+LEFT(IF(F8="", IF($B$4="", 1140101, $B$4), F8),3),MID(IF(F8="", IF($B$4="", 1140101, $B$4), F8),4,2),RIGHT(IF(F8="", IF($B$4="", 1140101, $B$4), F8),2))+1),0)-(DATE(1911+LEFT(IF(F8="", IF($B$4="", 1140101, $B$4), F8),3),MID(IF(F8="", IF($B$4="", 1140101, $B$4), F8),4,2),RIGHT(IF(F8="", IF($B$4="", 1140101, $B$4), F8),2))+1)+1)/DAY(EOMONTH((DATE(1911+LEFT(IF(F8="", IF($B$4="", 1140101, $B$4), F8),3),MID(IF(F8="", IF($B$4="", 1140101, $B$4), F8),4,2),RIGHT(IF(F8="", IF($B$4="", 1140101, $B$4), F8),2))+1),0)))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$B$4),2))+1)-1))-YEAR((DATE(1911+LEFT(IF(F8="", IF($B$4="", 1140101, $B$4), F8),3),MID(IF(F8="", IF($B$4="", 1140101, $B$4), F8),4,2),RIGHT(IF(F8="", IF($B$4="", 1140101, $B$4), F8),2))+1)))*12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$B$4),2))+1)-1))-MONTH((DATE(1911+LEFT(IF(F8="", IF($B$4="", 1140101, $B$4), F8),3),MID(IF(F8="", IF($B$4="", 1140101, $B$4), F8),4,2),RIGHT(IF(F8="", IF($B$4="", 1140101, $B$4), F8),2))+1)) - 1))), 0), 0), "")</f>
        <v>39924</v>
      </c>
    </row>
    <row r="9" spans="1:16" ht="49.95" customHeight="1" x14ac:dyDescent="0.3">
      <c r="A9" s="85"/>
      <c r="B9" s="86"/>
      <c r="C9" s="86"/>
      <c r="D9" s="87"/>
      <c r="E9" s="87"/>
      <c r="F9" s="88"/>
      <c r="G9" s="9" t="str">
        <f t="shared" si="0"/>
        <v/>
      </c>
      <c r="H9" s="10" t="str">
        <f t="shared" si="1"/>
        <v/>
      </c>
      <c r="I9" s="11" t="str">
        <f t="shared" si="2"/>
        <v/>
      </c>
      <c r="J9" s="12" t="str">
        <f t="shared" si="3"/>
        <v/>
      </c>
    </row>
    <row r="10" spans="1:16" ht="49.95" customHeight="1" x14ac:dyDescent="0.3">
      <c r="A10" s="85"/>
      <c r="B10" s="86"/>
      <c r="C10" s="86"/>
      <c r="D10" s="87"/>
      <c r="E10" s="87"/>
      <c r="F10" s="88"/>
      <c r="G10" s="9" t="str">
        <f t="shared" si="0"/>
        <v/>
      </c>
      <c r="H10" s="10" t="str">
        <f t="shared" si="1"/>
        <v/>
      </c>
      <c r="I10" s="11" t="str">
        <f t="shared" si="2"/>
        <v/>
      </c>
      <c r="J10" s="12" t="str">
        <f t="shared" si="3"/>
        <v/>
      </c>
      <c r="O10" s="74"/>
    </row>
    <row r="11" spans="1:16" ht="49.95" customHeight="1" x14ac:dyDescent="0.3">
      <c r="A11" s="85"/>
      <c r="B11" s="86"/>
      <c r="C11" s="86"/>
      <c r="D11" s="87"/>
      <c r="E11" s="87"/>
      <c r="F11" s="88"/>
      <c r="G11" s="9" t="str">
        <f t="shared" si="0"/>
        <v/>
      </c>
      <c r="H11" s="10" t="str">
        <f t="shared" si="1"/>
        <v/>
      </c>
      <c r="I11" s="11" t="str">
        <f t="shared" si="2"/>
        <v/>
      </c>
      <c r="J11" s="12" t="str">
        <f t="shared" si="3"/>
        <v/>
      </c>
    </row>
    <row r="12" spans="1:16" ht="49.95" customHeight="1" x14ac:dyDescent="0.3">
      <c r="A12" s="85"/>
      <c r="B12" s="86"/>
      <c r="C12" s="86"/>
      <c r="D12" s="87"/>
      <c r="E12" s="87"/>
      <c r="F12" s="88"/>
      <c r="G12" s="9" t="str">
        <f t="shared" si="0"/>
        <v/>
      </c>
      <c r="H12" s="10" t="str">
        <f t="shared" si="1"/>
        <v/>
      </c>
      <c r="I12" s="11" t="str">
        <f t="shared" si="2"/>
        <v/>
      </c>
      <c r="J12" s="12" t="str">
        <f t="shared" si="3"/>
        <v/>
      </c>
    </row>
    <row r="13" spans="1:16" ht="49.95" customHeight="1" x14ac:dyDescent="0.3">
      <c r="A13" s="85"/>
      <c r="B13" s="86"/>
      <c r="C13" s="86"/>
      <c r="D13" s="87"/>
      <c r="E13" s="87"/>
      <c r="F13" s="88"/>
      <c r="G13" s="9" t="str">
        <f t="shared" si="0"/>
        <v/>
      </c>
      <c r="H13" s="10" t="str">
        <f t="shared" si="1"/>
        <v/>
      </c>
      <c r="I13" s="11" t="str">
        <f t="shared" si="2"/>
        <v/>
      </c>
      <c r="J13" s="12" t="str">
        <f t="shared" si="3"/>
        <v/>
      </c>
    </row>
    <row r="14" spans="1:16" ht="49.95" customHeight="1" x14ac:dyDescent="0.3">
      <c r="A14" s="85"/>
      <c r="B14" s="86"/>
      <c r="C14" s="86"/>
      <c r="D14" s="87"/>
      <c r="E14" s="87"/>
      <c r="F14" s="88"/>
      <c r="G14" s="9" t="str">
        <f t="shared" si="0"/>
        <v/>
      </c>
      <c r="H14" s="10" t="str">
        <f t="shared" si="1"/>
        <v/>
      </c>
      <c r="I14" s="11" t="str">
        <f t="shared" si="2"/>
        <v/>
      </c>
      <c r="J14" s="12" t="str">
        <f t="shared" si="3"/>
        <v/>
      </c>
    </row>
    <row r="15" spans="1:16" ht="49.95" customHeight="1" x14ac:dyDescent="0.3">
      <c r="A15" s="85"/>
      <c r="B15" s="86"/>
      <c r="C15" s="86"/>
      <c r="D15" s="87"/>
      <c r="E15" s="87"/>
      <c r="F15" s="88"/>
      <c r="G15" s="9" t="str">
        <f t="shared" si="0"/>
        <v/>
      </c>
      <c r="H15" s="10" t="str">
        <f t="shared" si="1"/>
        <v/>
      </c>
      <c r="I15" s="11" t="str">
        <f t="shared" si="2"/>
        <v/>
      </c>
      <c r="J15" s="12" t="str">
        <f t="shared" si="3"/>
        <v/>
      </c>
      <c r="P15" s="74"/>
    </row>
    <row r="16" spans="1:16" ht="49.95" customHeight="1" x14ac:dyDescent="0.3">
      <c r="A16" s="85"/>
      <c r="B16" s="86"/>
      <c r="C16" s="86"/>
      <c r="D16" s="87"/>
      <c r="E16" s="87"/>
      <c r="F16" s="88"/>
      <c r="G16" s="9" t="str">
        <f t="shared" si="0"/>
        <v/>
      </c>
      <c r="H16" s="10" t="str">
        <f t="shared" si="1"/>
        <v/>
      </c>
      <c r="I16" s="11" t="str">
        <f t="shared" si="2"/>
        <v/>
      </c>
      <c r="J16" s="12" t="str">
        <f t="shared" si="3"/>
        <v/>
      </c>
    </row>
    <row r="17" spans="1:17" ht="49.95" customHeight="1" x14ac:dyDescent="0.3">
      <c r="A17" s="85"/>
      <c r="B17" s="86"/>
      <c r="C17" s="86"/>
      <c r="D17" s="87"/>
      <c r="E17" s="87"/>
      <c r="F17" s="88"/>
      <c r="G17" s="9" t="str">
        <f t="shared" si="0"/>
        <v/>
      </c>
      <c r="H17" s="10" t="str">
        <f t="shared" si="1"/>
        <v/>
      </c>
      <c r="I17" s="11" t="str">
        <f t="shared" si="2"/>
        <v/>
      </c>
      <c r="J17" s="12" t="str">
        <f t="shared" si="3"/>
        <v/>
      </c>
    </row>
    <row r="18" spans="1:17" ht="49.95" customHeight="1" x14ac:dyDescent="0.3">
      <c r="A18" s="85"/>
      <c r="B18" s="86"/>
      <c r="C18" s="86"/>
      <c r="D18" s="87"/>
      <c r="E18" s="87"/>
      <c r="F18" s="88"/>
      <c r="G18" s="9" t="str">
        <f t="shared" si="0"/>
        <v/>
      </c>
      <c r="H18" s="10" t="str">
        <f t="shared" si="1"/>
        <v/>
      </c>
      <c r="I18" s="11" t="str">
        <f t="shared" si="2"/>
        <v/>
      </c>
      <c r="J18" s="12" t="str">
        <f t="shared" si="3"/>
        <v/>
      </c>
    </row>
    <row r="19" spans="1:17" ht="49.95" customHeight="1" x14ac:dyDescent="0.3">
      <c r="A19" s="89"/>
      <c r="B19" s="90"/>
      <c r="C19" s="90"/>
      <c r="D19" s="91"/>
      <c r="E19" s="91"/>
      <c r="F19" s="92"/>
      <c r="G19" s="13" t="str">
        <f t="shared" si="0"/>
        <v/>
      </c>
      <c r="H19" s="14" t="str">
        <f t="shared" si="1"/>
        <v/>
      </c>
      <c r="I19" s="15" t="str">
        <f t="shared" si="2"/>
        <v/>
      </c>
      <c r="J19" s="16" t="str">
        <f t="shared" si="3"/>
        <v/>
      </c>
    </row>
    <row r="21" spans="1:17" ht="30" customHeight="1" x14ac:dyDescent="0.3">
      <c r="A21" s="45" t="s">
        <v>20</v>
      </c>
      <c r="B21" s="38"/>
      <c r="C21" s="38"/>
      <c r="D21" s="39"/>
      <c r="F21" s="41" t="s">
        <v>21</v>
      </c>
      <c r="G21" s="38"/>
      <c r="H21" s="38"/>
      <c r="I21" s="38"/>
      <c r="J21" s="39"/>
    </row>
    <row r="22" spans="1:17" ht="25.05" customHeight="1" x14ac:dyDescent="0.3">
      <c r="A22" s="42" t="s">
        <v>22</v>
      </c>
      <c r="B22" s="33"/>
      <c r="C22" s="33"/>
      <c r="D22" s="17">
        <f>SUM(E8:E19)</f>
        <v>52000</v>
      </c>
      <c r="F22" s="42" t="s">
        <v>23</v>
      </c>
      <c r="G22" s="33"/>
      <c r="H22" s="33"/>
      <c r="I22" s="33"/>
      <c r="J22" s="18">
        <f>SUM(J8:J19)</f>
        <v>39924</v>
      </c>
    </row>
    <row r="23" spans="1:17" ht="25.05" customHeight="1" x14ac:dyDescent="0.3">
      <c r="A23" s="42" t="s">
        <v>24</v>
      </c>
      <c r="B23" s="33"/>
      <c r="C23" s="33"/>
      <c r="D23" s="17">
        <f>SUM(H8:H19)</f>
        <v>0</v>
      </c>
      <c r="F23" s="96" t="s">
        <v>25</v>
      </c>
      <c r="G23" s="95"/>
      <c r="H23" s="95"/>
      <c r="I23" s="95"/>
      <c r="J23" s="97">
        <v>50</v>
      </c>
    </row>
    <row r="24" spans="1:17" ht="25.05" customHeight="1" x14ac:dyDescent="0.3">
      <c r="A24" s="94" t="s">
        <v>26</v>
      </c>
      <c r="B24" s="95"/>
      <c r="C24" s="95"/>
      <c r="D24" s="93">
        <v>1000</v>
      </c>
      <c r="F24" s="94" t="s">
        <v>26</v>
      </c>
      <c r="G24" s="95"/>
      <c r="H24" s="95"/>
      <c r="I24" s="95"/>
      <c r="J24" s="97">
        <v>50</v>
      </c>
    </row>
    <row r="25" spans="1:17" ht="25.05" customHeight="1" x14ac:dyDescent="0.3">
      <c r="A25" s="94" t="s">
        <v>27</v>
      </c>
      <c r="B25" s="95"/>
      <c r="C25" s="95"/>
      <c r="D25" s="93">
        <v>1000</v>
      </c>
      <c r="F25" s="94" t="s">
        <v>27</v>
      </c>
      <c r="G25" s="95"/>
      <c r="H25" s="95"/>
      <c r="I25" s="95"/>
      <c r="J25" s="97">
        <v>50</v>
      </c>
    </row>
    <row r="26" spans="1:17" ht="25.05" customHeight="1" x14ac:dyDescent="0.3">
      <c r="A26" s="94" t="s">
        <v>28</v>
      </c>
      <c r="B26" s="95"/>
      <c r="C26" s="95"/>
      <c r="D26" s="93">
        <v>100</v>
      </c>
      <c r="F26" s="94" t="s">
        <v>28</v>
      </c>
      <c r="G26" s="95"/>
      <c r="H26" s="95"/>
      <c r="I26" s="95"/>
      <c r="J26" s="97">
        <v>50</v>
      </c>
    </row>
    <row r="27" spans="1:17" ht="25.05" customHeight="1" x14ac:dyDescent="0.3">
      <c r="A27" s="94" t="s">
        <v>29</v>
      </c>
      <c r="B27" s="95"/>
      <c r="C27" s="95"/>
      <c r="D27" s="93">
        <v>1000</v>
      </c>
      <c r="F27" s="94" t="s">
        <v>29</v>
      </c>
      <c r="G27" s="95"/>
      <c r="H27" s="95"/>
      <c r="I27" s="95"/>
      <c r="J27" s="97">
        <v>550</v>
      </c>
    </row>
    <row r="28" spans="1:17" ht="30" customHeight="1" x14ac:dyDescent="0.3">
      <c r="A28" s="44" t="s">
        <v>30</v>
      </c>
      <c r="B28" s="40"/>
      <c r="C28" s="40"/>
      <c r="D28" s="19">
        <f>D22+D23+D24+D25+D26+D27</f>
        <v>55100</v>
      </c>
      <c r="F28" s="44" t="s">
        <v>31</v>
      </c>
      <c r="G28" s="40"/>
      <c r="H28" s="40"/>
      <c r="I28" s="40"/>
      <c r="J28" s="19">
        <f>J22+J23+J24+J25+J26+J27</f>
        <v>40674</v>
      </c>
      <c r="Q28" s="74"/>
    </row>
    <row r="29" spans="1:17" ht="49.95" customHeight="1" x14ac:dyDescent="0.3">
      <c r="A29" s="37" t="str">
        <f>IF(K29&gt;0, "最終結算：賣方應找補買方 $" &amp; TEXT(K29, "#,##0"), IF(K29&lt;0, "最終結算：買方應找補賣方 $" &amp; TEXT(ABS(K29), "#,##0"), "最終結算：雙方無須找補"))</f>
        <v>最終結算：賣方應找補買方 $14,426</v>
      </c>
      <c r="B29" s="35"/>
      <c r="C29" s="35"/>
      <c r="D29" s="35"/>
      <c r="E29" s="35"/>
      <c r="F29" s="35"/>
      <c r="G29" s="35"/>
      <c r="H29" s="35"/>
      <c r="I29" s="35"/>
      <c r="J29" s="36"/>
      <c r="K29">
        <f>(D28) - (J28)</f>
        <v>14426</v>
      </c>
    </row>
    <row r="31" spans="1:17" ht="60" customHeight="1" x14ac:dyDescent="0.3">
      <c r="A31" s="98" t="s">
        <v>32</v>
      </c>
      <c r="B31" s="99"/>
      <c r="C31" s="99"/>
      <c r="D31" s="100"/>
      <c r="F31" s="98" t="s">
        <v>33</v>
      </c>
      <c r="G31" s="99"/>
      <c r="H31" s="99"/>
      <c r="I31" s="100"/>
    </row>
    <row r="33" spans="1:10" ht="25.05" customHeight="1" x14ac:dyDescent="0.3">
      <c r="A33" s="101" t="s">
        <v>34</v>
      </c>
      <c r="B33" s="102"/>
      <c r="C33" s="102"/>
      <c r="D33" s="102"/>
      <c r="E33" s="102"/>
      <c r="F33" s="102"/>
      <c r="G33" s="102"/>
      <c r="H33" s="102"/>
      <c r="I33" s="102"/>
      <c r="J33" s="103"/>
    </row>
    <row r="34" spans="1:10" ht="25.05" customHeight="1" x14ac:dyDescent="0.3">
      <c r="A34" s="104"/>
      <c r="B34" s="95"/>
      <c r="C34" s="95"/>
      <c r="D34" s="95"/>
      <c r="E34" s="95"/>
      <c r="F34" s="95"/>
      <c r="G34" s="95"/>
      <c r="H34" s="95"/>
      <c r="I34" s="95"/>
      <c r="J34" s="105"/>
    </row>
    <row r="35" spans="1:10" ht="25.05" customHeight="1" x14ac:dyDescent="0.3">
      <c r="A35" s="106"/>
      <c r="B35" s="107"/>
      <c r="C35" s="107"/>
      <c r="D35" s="107"/>
      <c r="E35" s="107"/>
      <c r="F35" s="107"/>
      <c r="G35" s="107"/>
      <c r="H35" s="107"/>
      <c r="I35" s="107"/>
      <c r="J35" s="108"/>
    </row>
  </sheetData>
  <mergeCells count="27">
    <mergeCell ref="G2:J2"/>
    <mergeCell ref="F25:I25"/>
    <mergeCell ref="A28:C28"/>
    <mergeCell ref="A1:J1"/>
    <mergeCell ref="F28:I28"/>
    <mergeCell ref="F24:I24"/>
    <mergeCell ref="B2:E2"/>
    <mergeCell ref="A24:C24"/>
    <mergeCell ref="B3:J3"/>
    <mergeCell ref="F26:I26"/>
    <mergeCell ref="C5:E5"/>
    <mergeCell ref="A21:D21"/>
    <mergeCell ref="F23:I23"/>
    <mergeCell ref="F22:I22"/>
    <mergeCell ref="C6:H6"/>
    <mergeCell ref="A33:J35"/>
    <mergeCell ref="A26:C26"/>
    <mergeCell ref="F21:J21"/>
    <mergeCell ref="A31:D31"/>
    <mergeCell ref="A23:C23"/>
    <mergeCell ref="A22:C22"/>
    <mergeCell ref="A25:C25"/>
    <mergeCell ref="D4:J4"/>
    <mergeCell ref="F31:I31"/>
    <mergeCell ref="F27:I27"/>
    <mergeCell ref="A27:C27"/>
    <mergeCell ref="A29:J29"/>
  </mergeCells>
  <phoneticPr fontId="21" type="noConversion"/>
  <dataValidations count="1">
    <dataValidation type="list" sqref="B5" xr:uid="{00000000-0002-0000-0000-000000000000}">
      <formula1>"歸買方,歸賣方"</formula1>
    </dataValidation>
  </dataValidation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9"/>
  <sheetViews>
    <sheetView topLeftCell="A29" workbookViewId="0">
      <selection activeCell="F43" sqref="F43"/>
    </sheetView>
  </sheetViews>
  <sheetFormatPr defaultRowHeight="15" x14ac:dyDescent="0.3"/>
  <cols>
    <col min="1" max="1" width="20" customWidth="1"/>
    <col min="2" max="2" width="18" customWidth="1"/>
    <col min="3" max="3" width="32.75" customWidth="1"/>
    <col min="4" max="4" width="18" customWidth="1"/>
    <col min="5" max="5" width="15" customWidth="1"/>
    <col min="6" max="6" width="22" customWidth="1"/>
    <col min="7" max="7" width="18" customWidth="1"/>
    <col min="8" max="8" width="71.875" customWidth="1"/>
    <col min="27" max="28" width="13" hidden="1" customWidth="1"/>
  </cols>
  <sheetData>
    <row r="1" spans="1:28" ht="49.95" customHeight="1" x14ac:dyDescent="0.3">
      <c r="A1" s="55" t="s">
        <v>113</v>
      </c>
      <c r="B1" s="33"/>
      <c r="C1" s="33"/>
      <c r="D1" s="33"/>
      <c r="E1" s="33"/>
      <c r="F1" s="33"/>
      <c r="G1" s="33"/>
      <c r="H1" s="33"/>
      <c r="AA1">
        <f>IFERROR(IF(LEN(C2)=7, DATE(VALUE(LEFT(C2,3))+1911, VALUE(MID(C2,4,2)), VALUE(RIGHT(C2,2))), IF(LEN(C2)=6, DATE(VALUE(LEFT(C2,2))+1911, VALUE(MID(C2,3,2)), VALUE(RIGHT(C2,2))), "")), "")</f>
        <v>45950</v>
      </c>
      <c r="AB1">
        <f>IF(C15&lt;&gt;"", C15, AA15)</f>
        <v>50000</v>
      </c>
    </row>
    <row r="2" spans="1:28" ht="31.95" customHeight="1" x14ac:dyDescent="0.3">
      <c r="A2" s="58" t="s">
        <v>35</v>
      </c>
      <c r="B2" s="58"/>
      <c r="C2" s="68" t="s">
        <v>110</v>
      </c>
      <c r="D2" s="52" t="str">
        <f>IF(AA1&lt;&gt;"", TEXT(AA1, "民國 e 年 m 月 d 日"), "請依左側格式輸入日期")</f>
        <v>民國 114 年 10 月 20 日</v>
      </c>
      <c r="E2" s="52"/>
      <c r="F2" s="20" t="s">
        <v>36</v>
      </c>
      <c r="G2" s="49" t="str">
        <f>IF(AA1&lt;&gt;"", TEXT(AA1+30, "民國 e 年 m 月 d 日"), "")</f>
        <v>民國 114 年 11 月 19 日</v>
      </c>
      <c r="H2" s="49"/>
      <c r="AA2">
        <f>IFERROR(IF(LEN(C3)=7, DATE(VALUE(LEFT(C3,3))+1911, VALUE(MID(C3,4,2)), VALUE(RIGHT(C3,2))), IF(LEN(C3)=6, DATE(VALUE(LEFT(C3,2))+1911, VALUE(MID(C3,3,2)), VALUE(RIGHT(C3,2))), "")), "")</f>
        <v>45981</v>
      </c>
      <c r="AB2">
        <f>IF(C16&lt;&gt;"", C16, IFERROR(ROUND(AA18*VLOOKUP(C13, 稅率表!$A$2:$B$15, 2, FALSE),0), ""))</f>
        <v>5000</v>
      </c>
    </row>
    <row r="3" spans="1:28" ht="31.95" customHeight="1" x14ac:dyDescent="0.3">
      <c r="A3" s="58" t="s">
        <v>37</v>
      </c>
      <c r="B3" s="58"/>
      <c r="C3" s="68" t="s">
        <v>112</v>
      </c>
      <c r="D3" s="52" t="str">
        <f>IF(AA2&lt;&gt;"", TEXT(AA2, "民國 e 年 m 月 d 日"), "請依左側格式輸入日期")</f>
        <v>民國 114 年 11 月 20 日</v>
      </c>
      <c r="E3" s="52"/>
      <c r="F3" s="59" t="str">
        <f>IF(AA1="","",IF(MOD(YEAR(AA1)-1911,2)=1, "【注意】
民國 " &amp; YEAR(AA1)-1911 &amp; " 年為地價調整年！
前一年稅單僅供參考。", "【資訊】
民國 " &amp; YEAR(AA1)-1911 &amp; " 年非地價調整年。"))</f>
        <v>【資訊】
民國 114 年非地價調整年。</v>
      </c>
      <c r="G3" s="46"/>
      <c r="H3" s="46"/>
      <c r="AB3">
        <f>IF(AA5, 12, IFERROR(DATE(YEAR(AA2),12,31)-DATE(YEAR(AA2),1,1)+1, ""))</f>
        <v>365</v>
      </c>
    </row>
    <row r="4" spans="1:28" ht="31.95" customHeight="1" x14ac:dyDescent="0.3">
      <c r="A4" s="58" t="s">
        <v>38</v>
      </c>
      <c r="B4" s="58"/>
      <c r="C4" s="68" t="s">
        <v>39</v>
      </c>
      <c r="D4" s="63" t="str">
        <f>IF(AA5, "【按月分算模式】", "【按日分算模式】") &amp; " 交屋日歸屬：" &amp; IF(C4="是", "買方", "賣方")</f>
        <v>【按日分算模式】 交屋日歸屬：賣方</v>
      </c>
      <c r="E4" s="52"/>
      <c r="F4" s="46"/>
      <c r="G4" s="46"/>
      <c r="H4" s="46"/>
      <c r="AA4">
        <f>IF(C4="是", 1, 0)</f>
        <v>0</v>
      </c>
      <c r="AB4">
        <f>IFERROR(DATE(YEAR(AA2)-IF(MONTH(AA2)&lt;7,1,0),7,1), "")</f>
        <v>45839</v>
      </c>
    </row>
    <row r="5" spans="1:28" ht="31.95" customHeight="1" x14ac:dyDescent="0.3">
      <c r="A5" s="61" t="s">
        <v>40</v>
      </c>
      <c r="B5" s="46"/>
      <c r="C5" s="46"/>
      <c r="D5" s="46"/>
      <c r="E5" s="46"/>
      <c r="F5" s="46"/>
      <c r="G5" s="46"/>
      <c r="H5" s="46"/>
      <c r="AA5" t="b">
        <f>IF(AA2="","",AND(DAY(EOMONTH(AA2,0))=DAY(AA2), C4="否"))</f>
        <v>0</v>
      </c>
      <c r="AB5">
        <f>IFERROR(DATE(YEAR(AA2)-IF(MONTH(AA2)&lt;7,1,0)+1,6,30), "")</f>
        <v>46203</v>
      </c>
    </row>
    <row r="6" spans="1:28" ht="31.95" customHeight="1" x14ac:dyDescent="0.3">
      <c r="A6" s="22" t="s">
        <v>41</v>
      </c>
      <c r="B6" s="23" t="s">
        <v>42</v>
      </c>
      <c r="C6" s="23" t="s">
        <v>43</v>
      </c>
      <c r="D6" s="23" t="s">
        <v>44</v>
      </c>
      <c r="E6" s="23" t="s">
        <v>45</v>
      </c>
      <c r="F6" s="23" t="s">
        <v>46</v>
      </c>
      <c r="G6" s="23" t="s">
        <v>47</v>
      </c>
      <c r="H6" s="21"/>
      <c r="AB6">
        <f>IF(AA5, 12, IFERROR(AB5-AB4+1, ""))</f>
        <v>365</v>
      </c>
    </row>
    <row r="7" spans="1:28" ht="31.95" customHeight="1" x14ac:dyDescent="0.3">
      <c r="A7" s="24" t="s">
        <v>48</v>
      </c>
      <c r="B7" s="70" t="s">
        <v>49</v>
      </c>
      <c r="C7" s="70">
        <v>10000</v>
      </c>
      <c r="D7" s="70">
        <v>80</v>
      </c>
      <c r="E7" s="71" t="s">
        <v>114</v>
      </c>
      <c r="F7" s="70" t="s">
        <v>50</v>
      </c>
      <c r="G7" s="25">
        <f>IFERROR(C7*D7*AA7, "")</f>
        <v>266666.66666666663</v>
      </c>
      <c r="H7" s="21"/>
      <c r="AA7">
        <f>IFERROR(IF(ISNUMBER(FIND("/",E7)), LEFT(E7, FIND("/", E7)-1) / MID(E7, FIND("/", E7)+1, LEN(E7)), IF(ISNUMBER(FIND("%",E7)), VALUE(SUBSTITUTE(E7,"%",""))/100, IF(ISNUMBER(E7), E7/100, 1))), 1)</f>
        <v>0.33333333333333331</v>
      </c>
      <c r="AB7">
        <f>IFERROR(EOMONTH(DATE(YEAR(AB5),2,1),0), "")</f>
        <v>46081</v>
      </c>
    </row>
    <row r="8" spans="1:28" ht="31.95" customHeight="1" x14ac:dyDescent="0.3">
      <c r="A8" s="24" t="s">
        <v>51</v>
      </c>
      <c r="B8" s="70"/>
      <c r="C8" s="70">
        <v>10000</v>
      </c>
      <c r="D8" s="70"/>
      <c r="E8" s="71"/>
      <c r="F8" s="70" t="s">
        <v>50</v>
      </c>
      <c r="G8" s="25">
        <f>IFERROR(C8*D8*AA8, "")</f>
        <v>0</v>
      </c>
      <c r="H8" s="21"/>
      <c r="AA8">
        <f>IFERROR(IF(ISNUMBER(FIND("/",E8)), LEFT(E8, FIND("/", E8)-1) / MID(E8, FIND("/", E8)+1, LEN(E8)), IF(ISNUMBER(FIND("%",E8)), VALUE(SUBSTITUTE(E8,"%",""))/100, IF(ISNUMBER(E8), E8/100, 1))), 1)</f>
        <v>1</v>
      </c>
      <c r="AB8" t="str">
        <f>IFERROR(IF(AA1&gt;DATE(YEAR(AA2),8,31), "賣方", "買方"), "")</f>
        <v>賣方</v>
      </c>
    </row>
    <row r="9" spans="1:28" ht="31.95" customHeight="1" x14ac:dyDescent="0.3">
      <c r="A9" s="24" t="s">
        <v>52</v>
      </c>
      <c r="B9" s="70"/>
      <c r="C9" s="70">
        <v>11000</v>
      </c>
      <c r="D9" s="70"/>
      <c r="E9" s="71"/>
      <c r="F9" s="70" t="s">
        <v>50</v>
      </c>
      <c r="G9" s="25">
        <f>IFERROR(C9*D9*AA9, "")</f>
        <v>0</v>
      </c>
      <c r="H9" s="69"/>
      <c r="AA9">
        <f>IFERROR(IF(ISNUMBER(FIND("/",E9)), LEFT(E9, FIND("/", E9)-1) / MID(E9, FIND("/", E9)+1, LEN(E9)), IF(ISNUMBER(FIND("%",E9)), VALUE(SUBSTITUTE(E9,"%",""))/100, IF(ISNUMBER(E9), E9/100, 1))), 1)</f>
        <v>1</v>
      </c>
      <c r="AB9" t="str">
        <f>IFERROR(IF(AA1&gt;AB7, "賣方", "買方"), "")</f>
        <v>買方</v>
      </c>
    </row>
    <row r="10" spans="1:28" ht="31.95" customHeight="1" x14ac:dyDescent="0.3">
      <c r="A10" s="46" t="s">
        <v>53</v>
      </c>
      <c r="B10" s="46"/>
      <c r="C10" s="72">
        <v>1700000</v>
      </c>
      <c r="D10" s="50" t="s">
        <v>54</v>
      </c>
      <c r="E10" s="46"/>
      <c r="F10" s="46"/>
      <c r="G10" s="46"/>
      <c r="H10" s="46"/>
      <c r="AB10">
        <f>IFERROR(IF(AA5, MONTH(AA2), AA2-DATE(YEAR(AA2),1,1)+1-AA4),"")</f>
        <v>324</v>
      </c>
    </row>
    <row r="11" spans="1:28" ht="31.95" hidden="1" customHeight="1" x14ac:dyDescent="0.3">
      <c r="A11" s="21"/>
      <c r="B11" s="21"/>
      <c r="C11" s="21"/>
      <c r="D11" s="21"/>
      <c r="E11" s="21"/>
      <c r="F11" s="21"/>
      <c r="G11" s="21"/>
      <c r="H11" s="21"/>
      <c r="AA11">
        <f>ROUND(SUMPRODUCT((F7:F9="自用住宅 (2‰)")*G7:G9*0.002),0)</f>
        <v>0</v>
      </c>
      <c r="AB11">
        <f>IFERROR(IF(AA5, 12-MONTH(AA2), DATE(YEAR(AA2),12,31)-AA2+AA4),"")</f>
        <v>41</v>
      </c>
    </row>
    <row r="12" spans="1:28" ht="31.95" customHeight="1" x14ac:dyDescent="0.3">
      <c r="A12" s="46" t="s">
        <v>55</v>
      </c>
      <c r="B12" s="46"/>
      <c r="C12" s="70" t="s">
        <v>56</v>
      </c>
      <c r="D12" s="21"/>
      <c r="E12" s="21"/>
      <c r="F12" s="21"/>
      <c r="G12" s="21"/>
      <c r="H12" s="69"/>
      <c r="AA12">
        <f>SUMPRODUCT((F7:F9&lt;&gt;"自用住宅 (2‰)")*G7:G9)</f>
        <v>266666.66666666663</v>
      </c>
      <c r="AB12">
        <f>IFERROR(IF(AA5, IF(MONTH(AA2)&gt;=7, MONTH(AA2)-6, MONTH(AA2)+6), AA2-AB4+1-AA4),"")</f>
        <v>143</v>
      </c>
    </row>
    <row r="13" spans="1:28" ht="31.95" customHeight="1" x14ac:dyDescent="0.3">
      <c r="A13" s="46" t="s">
        <v>57</v>
      </c>
      <c r="B13" s="46"/>
      <c r="C13" s="70" t="s">
        <v>106</v>
      </c>
      <c r="D13" s="56">
        <f>IFERROR(VLOOKUP(C13, 稅率表!$A$2:$B$15, 2, FALSE), "")</f>
        <v>0.03</v>
      </c>
      <c r="E13" s="46"/>
      <c r="F13" s="21"/>
      <c r="G13" s="21"/>
      <c r="H13" s="21"/>
      <c r="AA13">
        <f>IF(C10="",0,C10)</f>
        <v>1700000</v>
      </c>
      <c r="AB13">
        <f>IFERROR(IF(AA5, 12 - IF(MONTH(AA2)&gt;=7, MONTH(AA2)-6, MONTH(AA2)+6), AB5-AA2+AA4),"")</f>
        <v>222</v>
      </c>
    </row>
    <row r="14" spans="1:28" ht="31.95" customHeight="1" x14ac:dyDescent="0.3">
      <c r="A14" s="57" t="s">
        <v>58</v>
      </c>
      <c r="B14" s="46"/>
      <c r="C14" s="46"/>
      <c r="D14" s="33"/>
      <c r="E14" s="33"/>
      <c r="F14" s="33"/>
      <c r="G14" s="33"/>
      <c r="H14" s="33"/>
      <c r="AA14">
        <f>ROUND(IF(AA13=0, AA12*0.01, IF(AA12&lt;=AA13, AA12*0.01, IF(AA12&lt;=AA13*5, AA12*0.015-AA13*0.005, IF(AA12&lt;=AA13*10, AA12*0.025-AA13*0.065, IF(AA12&lt;=AA13*15, AA12*0.035-AA13*0.175, IF(AA12&lt;=AA13*20, AA12*0.045-AA13*0.335, AA12*0.055-AA13*0.545)))))),0)</f>
        <v>2667</v>
      </c>
    </row>
    <row r="15" spans="1:28" ht="31.95" customHeight="1" x14ac:dyDescent="0.3">
      <c r="A15" s="46" t="s">
        <v>59</v>
      </c>
      <c r="B15" s="46"/>
      <c r="C15" s="73">
        <v>50000</v>
      </c>
      <c r="G15" s="74"/>
      <c r="AA15">
        <f>AA11+AA14</f>
        <v>2667</v>
      </c>
    </row>
    <row r="16" spans="1:28" ht="31.95" customHeight="1" x14ac:dyDescent="0.3">
      <c r="A16" s="46" t="s">
        <v>60</v>
      </c>
      <c r="B16" s="46"/>
      <c r="C16" s="73">
        <v>5000</v>
      </c>
      <c r="AA16" t="str">
        <f>IFERROR(IF(ISNUMBER(FIND("-",C12)), VALUE(LEFT(C12, FIND("-",C12)-1)), C12), C12)</f>
        <v>1000000</v>
      </c>
    </row>
    <row r="17" spans="1:28" ht="31.95" customHeight="1" x14ac:dyDescent="0.3">
      <c r="A17" s="61" t="s">
        <v>61</v>
      </c>
      <c r="B17" s="46"/>
      <c r="C17" s="46"/>
      <c r="D17" s="46"/>
      <c r="E17" s="46"/>
      <c r="F17" s="46"/>
      <c r="G17" s="46"/>
      <c r="H17" s="46"/>
      <c r="AA17">
        <f>IFERROR(IF(ISNUMBER(FIND("-",C12)), VALUE(MID(C12, FIND("-",C12)+1, LEN(C12))), 0), 0)</f>
        <v>0</v>
      </c>
    </row>
    <row r="18" spans="1:28" ht="31.95" customHeight="1" x14ac:dyDescent="0.3">
      <c r="A18" s="22" t="s">
        <v>62</v>
      </c>
      <c r="B18" s="22" t="s">
        <v>63</v>
      </c>
      <c r="C18" s="22" t="s">
        <v>64</v>
      </c>
      <c r="D18" s="22" t="s">
        <v>65</v>
      </c>
      <c r="E18" s="57" t="s">
        <v>66</v>
      </c>
      <c r="F18" s="57"/>
      <c r="G18" s="57"/>
      <c r="H18" s="22"/>
      <c r="AA18">
        <f>IF(ISNUMBER(C12), C12, AA16-AA17)</f>
        <v>1000000</v>
      </c>
    </row>
    <row r="19" spans="1:28" ht="198" customHeight="1" x14ac:dyDescent="0.3">
      <c r="A19" s="26" t="s">
        <v>67</v>
      </c>
      <c r="B19" s="27" t="str">
        <f>IF(AB10&lt;&gt;"", AB10 &amp; IF(AA5, " 月", " 天"), "")</f>
        <v>324 天</v>
      </c>
      <c r="C19" s="27" t="str">
        <f>IF(AB11&lt;&gt;"", AB11 &amp; IF(AA5, " 月", " 天"), "")</f>
        <v>41 天</v>
      </c>
      <c r="D19" s="28">
        <f>AB1</f>
        <v>50000</v>
      </c>
      <c r="E19" s="47">
        <f>IFERROR(IF(AB8="賣方", ROUND(D19*AB11/AB3,0), ROUND(D19*AB10/AB3,0)),0)</f>
        <v>5616</v>
      </c>
      <c r="F19" s="47"/>
      <c r="G19" s="47"/>
      <c r="H19" s="29" t="str">
        <f>IF(E19=0, "無需找補", "納稅人為【" &amp; AB8 &amp; "】，" &amp; IF(AB8="賣方", "由【買方】補貼賣方", "由【賣方】補貼買方") &amp; "。" &amp; CHAR(10) &amp; "【找補計算】" &amp; CHAR(10) &amp; "  " &amp; TEXT(D19, "#,##0") &amp; " * (" &amp; IF(AB8="賣方", AB11, AB10) &amp; " / " &amp; AB3 &amp; ") = " &amp; TEXT(E19, "#,##0") &amp; CHAR(10) &amp; "【款項性質】" &amp; CHAR(10) &amp; "  " &amp; "此為民國 " &amp; YEAR(AA2)-1911 &amp; " 年度地價稅找補，屬【" &amp; IF(AA2&gt;DATE(YEAR(AA2),8,31), "未到期數", "已到期數") &amp; "】款項。" &amp; CHAR(10) &amp; "---" &amp; CHAR(10) &amp; "【稅務規則】" &amp; CHAR(10) &amp; "● 課稅年度： 民國 " &amp; YEAR(AA2)-1911 &amp; " 年 (1/1 ~ 12/31)" &amp; CHAR(10) &amp; "● 開徵期間： 民國 " &amp; YEAR(AA2)-1911 &amp; " 年 11 月 1 日 至 11 月 30 日" &amp; CHAR(10) &amp; "● 納稅基準日： 民國 " &amp; YEAR(AA2)-1911 &amp; " 年 8 月 31 日" &amp; CHAR(10) &amp; "● 本案納稅人： 【" &amp; AB8 &amp; "】 (以基準日之地政登記所有權人為準)")</f>
        <v>納稅人為【賣方】，由【買方】補貼賣方。
【找補計算】
  50,000 * (41 / 365) = 5,616
【款項性質】
  此為民國 114 年度地價稅找補，屬【未到期數】款項。
---
【稅務規則】
● 課稅年度： 民國 114 年 (1/1 ~ 12/31)
● 開徵期間： 民國 114 年 11 月 1 日 至 11 月 30 日
● 納稅基準日： 民國 114 年 8 月 31 日
● 本案納稅人： 【賣方】 (以基準日之地政登記所有權人為準)</v>
      </c>
    </row>
    <row r="20" spans="1:28" ht="204.6" customHeight="1" x14ac:dyDescent="0.3">
      <c r="A20" s="26" t="s">
        <v>68</v>
      </c>
      <c r="B20" s="30" t="str">
        <f>IF(AB12&lt;&gt;"", AB12 &amp; IF(AA5, " 月", " 天"), "")</f>
        <v>143 天</v>
      </c>
      <c r="C20" s="30" t="str">
        <f>IF(AB13&lt;&gt;"", AB13 &amp; IF(AA5, " 月", " 天"), "")</f>
        <v>222 天</v>
      </c>
      <c r="D20" s="28">
        <f>AB2</f>
        <v>5000</v>
      </c>
      <c r="E20" s="47">
        <f>IFERROR(IF(AB9="賣方", ROUND(D20*AB13/AB6,0), ROUND(D20*AB12/AB6,0)),0)</f>
        <v>1959</v>
      </c>
      <c r="F20" s="47"/>
      <c r="G20" s="47"/>
      <c r="H20" s="29" t="str">
        <f>IF(E20=0, "無需找補", "納稅人為【" &amp; AB9 &amp; "】，" &amp; IF(AB9="賣方", "由【買方】補貼賣方", "由【賣方】補貼買方") &amp; "。" &amp; CHAR(10) &amp; IF(C16="", "【年稅額計算】" &amp; CHAR(10) &amp; "  " &amp; IF(AA17&gt;0, "(" &amp; TEXT(AA16,"#,##0") &amp; "-" &amp; TEXT(AA17,"#,##0") &amp; ")", TEXT(AA18,"#,##0")) &amp; " * " &amp; TEXT(D13,"0.0%") &amp; " = " &amp; TEXT(D20, "#,##0") &amp; CHAR(10), "") &amp; "【找補計算】" &amp; CHAR(10) &amp; "  " &amp; TEXT(D20, "#,##0") &amp; " * (" &amp; IF(AB9="賣方", AB13, AB12) &amp; " / " &amp; AB6 &amp; ") = " &amp; TEXT(E20, "#,##0") &amp; CHAR(10) &amp; "【款項性質】" &amp; CHAR(10) &amp; "  " &amp; "此為民國 " &amp; YEAR(AB5)-1911 &amp; " 年度房屋稅找補，屬【" &amp; IF(AA2&gt;AB7, "未到期數", "已到期數") &amp; "】款項。" &amp; CHAR(10) &amp; "---" &amp; CHAR(10) &amp; "【稅務規則】" &amp; CHAR(10) &amp; "● 課稅期間： 民國 " &amp; YEAR(AB4)-1911 &amp; "/7/1 至 " &amp; YEAR(AB5)-1911 &amp; "/6/30" &amp; CHAR(10) &amp; "● 開徵期間： 民國 " &amp; YEAR(AB5)-1911 &amp; " 年 5 月 1 日 至 5 月 31 日" &amp; CHAR(10) &amp; "● 納稅基準日： " &amp; TEXT(AB7, "民國 e 年 m 月 d 日") &amp; CHAR(10) &amp; "● 本案納稅人： 【" &amp; AB9 &amp; "】 (以基準日之房屋所有權人為準)")</f>
        <v>納稅人為【買方】，由【賣方】補貼買方。
【找補計算】
  5,000 * (143 / 365) = 1,959
【款項性質】
  此為民國 115 年度房屋稅找補，屬【已到期數】款項。
---
【稅務規則】
● 課稅期間： 民國 114/7/1 至 115/6/30
● 開徵期間： 民國 115 年 5 月 1 日 至 5 月 31 日
● 納稅基準日： 民國 115 年 2 月 28 日
● 本案納稅人： 【買方】 (以基準日之房屋所有權人為準)</v>
      </c>
      <c r="AA20">
        <f>IFERROR(IF(LEN(F22)=7, DATE(VALUE(LEFT(F22,3))+1911, VALUE(MID(F22,4,2)), VALUE(RIGHT(F22,2))), IF(LEN(F22)=6, DATE(VALUE(LEFT(F22,2))+1911, VALUE(MID(F22,3,2)), VALUE(RIGHT(F22,2))), "")), "")</f>
        <v>45960</v>
      </c>
    </row>
    <row r="21" spans="1:28" ht="31.95" customHeight="1" x14ac:dyDescent="0.3">
      <c r="A21" s="61" t="s">
        <v>69</v>
      </c>
      <c r="B21" s="46"/>
      <c r="C21" s="46"/>
      <c r="D21" s="46"/>
      <c r="E21" s="46"/>
      <c r="F21" s="46"/>
      <c r="G21" s="46"/>
      <c r="H21" s="46"/>
      <c r="AA21">
        <f>IFERROR(IF(LEN(F23)=7, DATE(VALUE(LEFT(F23,3))+1911, VALUE(MID(F23,4,2)), VALUE(RIGHT(F23,2))), IF(LEN(F23)=6, DATE(VALUE(LEFT(F23,2))+1911, VALUE(MID(F23,3,2)), VALUE(RIGHT(F23,2))), "")), "")</f>
        <v>45920</v>
      </c>
      <c r="AB21">
        <f>IFERROR(IF(AND(B22&gt;0, AA20&gt;=AA2), IF((YEAR(AA20)=YEAR(AA2))*(MONTH(AA20)=MONTH(AA2)), ROUND(B22*(AA20-AA2+AA4)/DAY(EOMONTH(AA2,0)),0), ROUND((B22*(DAY(EOMONTH(AA2,0))-DAY(AA2)+AA4)/DAY(EOMONTH(AA2,0))) + (B22*MAX(0,(YEAR(AA20)-YEAR(AA2))*12+MONTH(AA20)-MONTH(AA2)-1)) + (B22*DAY(AA20)/DAY(EOMONTH(AA20,0))),0)), 0), 0)</f>
        <v>0</v>
      </c>
    </row>
    <row r="22" spans="1:28" ht="31.95" customHeight="1" x14ac:dyDescent="0.3">
      <c r="A22" s="24" t="s">
        <v>70</v>
      </c>
      <c r="B22" s="75">
        <v>1030</v>
      </c>
      <c r="C22" s="24"/>
      <c r="D22" s="51" t="s">
        <v>71</v>
      </c>
      <c r="E22" s="51"/>
      <c r="F22" s="76" t="s">
        <v>109</v>
      </c>
      <c r="G22" s="52" t="str">
        <f>IF(AA20&lt;&gt;"", TEXT(AA20, "民國 e 年 m 月 d 日"), "格式: YYYMMDD")</f>
        <v>民國 114 年 10 月 30 日</v>
      </c>
      <c r="H22" s="52"/>
      <c r="AB22">
        <f>IFERROR(IF(AND(B23&gt;0, AA21&gt;=AA2), IF((YEAR(AA21)=YEAR(AA2))*(MONTH(AA21)=MONTH(AA2)), ROUND(B23*(AA21-AA2+AA4)/DAY(EOMONTH(AA2,0)),0), ROUND((B23*(DAY(EOMONTH(AA2,0))-DAY(AA2)+AA4)/DAY(EOMONTH(AA2,0))) + (B23*MAX(0,(YEAR(AA21)-YEAR(AA2))*12+MONTH(AA21)-MONTH(AA2)-1)) + (B23*DAY(AA21)/DAY(EOMONTH(AA21,0))),0)), 0), 0)</f>
        <v>0</v>
      </c>
    </row>
    <row r="23" spans="1:28" ht="31.95" customHeight="1" x14ac:dyDescent="0.3">
      <c r="A23" s="24" t="s">
        <v>72</v>
      </c>
      <c r="B23" s="75">
        <v>5200</v>
      </c>
      <c r="C23" s="24"/>
      <c r="D23" s="51" t="s">
        <v>73</v>
      </c>
      <c r="E23" s="51"/>
      <c r="F23" s="76" t="s">
        <v>111</v>
      </c>
      <c r="G23" s="52" t="str">
        <f>IF(AA21&lt;&gt;"", TEXT(AA21, "民國 e 年 m 月 d 日"), "格式: YYYMMDD")</f>
        <v>民國 114 年 9 月 20 日</v>
      </c>
      <c r="H23" s="52"/>
    </row>
    <row r="24" spans="1:28" ht="31.95" customHeight="1" x14ac:dyDescent="0.3">
      <c r="A24" s="64" t="s">
        <v>115</v>
      </c>
      <c r="B24" s="65"/>
      <c r="C24" s="65"/>
      <c r="D24" s="65"/>
      <c r="E24" s="65"/>
      <c r="F24" s="65"/>
      <c r="G24" s="65"/>
      <c r="H24" s="65"/>
      <c r="AB24">
        <f>IFERROR(IF(AND(B22&gt;0, AA20&lt;AA2), ROUND((B22*(DAY(EOMONTH(AA20,0))-DAY(AA20))/DAY(EOMONTH(AA20,0))) + (B22*MAX(0,(YEAR(AA2)-YEAR(AA20))*12+MONTH(AA2)-MONTH(AA20)-1)) + (B22*DAY(AA2)/DAY(EOMONTH(AA2,0))),0), 0), 0)</f>
        <v>720</v>
      </c>
    </row>
    <row r="25" spans="1:28" ht="31.95" customHeight="1" x14ac:dyDescent="0.3">
      <c r="A25" s="24" t="s">
        <v>74</v>
      </c>
      <c r="B25" s="75">
        <v>100</v>
      </c>
      <c r="C25" s="24"/>
      <c r="D25" s="24"/>
      <c r="E25" s="24"/>
      <c r="F25" s="24"/>
      <c r="G25" s="24"/>
      <c r="H25" s="24"/>
      <c r="AB25">
        <f>IFERROR(IF(AND(B23&gt;0, AA21&lt;AA2), ROUND((B23*(DAY(EOMONTH(AA21,0))-DAY(AA21))/DAY(EOMONTH(AA21,0))) + (B23*MAX(0,(YEAR(AA2)-YEAR(AA21))*12+MONTH(AA2)-MONTH(AA21)-1)) + (B23*DAY(AA2)/DAY(EOMONTH(AA2,0))),0), 0), 0)</f>
        <v>10400</v>
      </c>
    </row>
    <row r="26" spans="1:28" ht="31.95" customHeight="1" x14ac:dyDescent="0.3">
      <c r="A26" s="24" t="s">
        <v>75</v>
      </c>
      <c r="B26" s="75">
        <v>200</v>
      </c>
      <c r="C26" s="24"/>
      <c r="D26" s="24"/>
      <c r="E26" s="24"/>
      <c r="F26" s="24"/>
      <c r="G26" s="24"/>
      <c r="H26" s="24"/>
    </row>
    <row r="27" spans="1:28" ht="31.95" customHeight="1" x14ac:dyDescent="0.3">
      <c r="A27" s="24" t="s">
        <v>76</v>
      </c>
      <c r="B27" s="75">
        <v>300</v>
      </c>
      <c r="C27" s="24"/>
      <c r="D27" s="24"/>
      <c r="E27" s="24"/>
      <c r="F27" s="24"/>
      <c r="G27" s="24"/>
      <c r="H27" s="77"/>
    </row>
    <row r="28" spans="1:28" ht="31.95" customHeight="1" x14ac:dyDescent="0.3">
      <c r="A28" s="61" t="s">
        <v>77</v>
      </c>
      <c r="B28" s="46"/>
      <c r="C28" s="46"/>
      <c r="D28" s="46"/>
      <c r="E28" s="46"/>
      <c r="F28" s="46"/>
      <c r="G28" s="46"/>
      <c r="H28" s="46"/>
    </row>
    <row r="29" spans="1:28" ht="31.95" customHeight="1" x14ac:dyDescent="0.3">
      <c r="A29" s="57" t="s">
        <v>62</v>
      </c>
      <c r="B29" s="57"/>
      <c r="C29" s="57"/>
      <c r="D29" s="22" t="s">
        <v>78</v>
      </c>
      <c r="E29" s="22" t="s">
        <v>79</v>
      </c>
      <c r="F29" s="57" t="s">
        <v>80</v>
      </c>
      <c r="G29" s="57"/>
      <c r="H29" s="57"/>
    </row>
    <row r="30" spans="1:28" ht="31.95" customHeight="1" x14ac:dyDescent="0.3">
      <c r="A30" s="52" t="s">
        <v>81</v>
      </c>
      <c r="B30" s="52"/>
      <c r="C30" s="52"/>
      <c r="D30" s="31">
        <f>IF(AB8="賣方", E19, 0)</f>
        <v>5616</v>
      </c>
      <c r="E30" s="32">
        <f>IF(AB8="買方", E19, 0)</f>
        <v>0</v>
      </c>
      <c r="F30" s="48" t="str">
        <f>IF(MAX(D30,E30)=0, "無需找補", "【" &amp; IF(AB8="賣方", "買方", "賣方") &amp; "負擔】" &amp; CHAR(10) &amp; "年稅 $" &amp; TEXT(D19,"#,##0") &amp; " × (持有" &amp; IF(AB8="賣方", AB11, AB10) &amp; IF(AA5,"個月","天") &amp; " / 全年" &amp; AB3 &amp; IF(AA5,"個月","天") &amp; ")")</f>
        <v>【買方負擔】
年稅 $50,000 × (持有41天 / 全年365天)</v>
      </c>
      <c r="G30" s="48"/>
      <c r="H30" s="48"/>
    </row>
    <row r="31" spans="1:28" ht="31.95" customHeight="1" x14ac:dyDescent="0.3">
      <c r="A31" s="52" t="s">
        <v>82</v>
      </c>
      <c r="B31" s="52"/>
      <c r="C31" s="52"/>
      <c r="D31" s="31">
        <f>IF(AB9="賣方", E20, 0)</f>
        <v>0</v>
      </c>
      <c r="E31" s="32">
        <f>IF(AB9="買方", E20, 0)</f>
        <v>1959</v>
      </c>
      <c r="F31" s="48" t="str">
        <f>IF(MAX(D31,E31)=0, "無需找補", "【" &amp; IF(AB9="賣方", "買方", "賣方") &amp; "負擔】" &amp; CHAR(10) &amp; "年稅 $" &amp; TEXT(D20,"#,##0") &amp; " × (持有" &amp; IF(AB9="賣方", AB13, AB12) &amp; IF(AA5,"個月","天") &amp; " / 全年" &amp; AB6 &amp; IF(AA5,"個月","天") &amp; ")")</f>
        <v>【賣方負擔】
年稅 $5,000 × (持有143天 / 全年365天)</v>
      </c>
      <c r="G31" s="48"/>
      <c r="H31" s="48"/>
    </row>
    <row r="32" spans="1:28" ht="31.95" customHeight="1" x14ac:dyDescent="0.3">
      <c r="A32" s="52" t="s">
        <v>83</v>
      </c>
      <c r="B32" s="52"/>
      <c r="C32" s="52"/>
      <c r="D32" s="31">
        <f>AB21</f>
        <v>0</v>
      </c>
      <c r="E32" s="32">
        <f>AB24</f>
        <v>720</v>
      </c>
      <c r="F32" s="48" t="str">
        <f>IF(D32&gt;0, IF((TEXT(AA2,"yyyymm")=TEXT(AA20,"yyyymm")), "同月分算：$" &amp; TEXT(B22,"#,##0") &amp; " × (" &amp; (AA20-AA2+AA4) &amp; "天 / " &amp; DAY(EOMONTH(AA2,0)) &amp; "天)", IF(((YEAR(AA20)-YEAR(AA2))*12 + MONTH(AA20)-MONTH(AA2) &gt; 1), "跨月分段：$" &amp; TEXT(B22,"0") &amp; "×(" &amp; (DAY(EOMONTH(AA2,0))-DAY(AA2)+AA4) &amp; "/" &amp; DAY(EOMONTH(AA2,0)) &amp; ") + $" &amp; TEXT(B22,"0") &amp; "×(" &amp; DAY(AA20) &amp; "/" &amp; DAY(EOMONTH(AA20,0)) &amp; ")" &amp; " +...", "跨月分段：$" &amp; TEXT(B22,"0") &amp; "×(" &amp; (DAY(EOMONTH(AA2,0))-DAY(AA2)+AA4) &amp; "/" &amp; DAY(EOMONTH(AA2,0)) &amp; ") + $" &amp; TEXT(B22,"0") &amp; "×(" &amp; DAY(AA20) &amp; "/" &amp; DAY(EOMONTH(AA20,0)) &amp; ")")), IF(E32&gt;0, IF((TEXT(AA20,"yyyymm")=TEXT(AA2,"yyyymm")), "同月分算：$" &amp; TEXT(B22,"#,##0") &amp; " × (" &amp; (AA2-AA20+IF(AA4,0,1)) &amp; "天 / " &amp; DAY(EOMONTH(AA20,0)) &amp; "天)", IF(((YEAR(AA2)-YEAR(AA20))*12 + MONTH(AA2)-MONTH(AA20) &gt; 1), "跨月分段：$" &amp; TEXT(B22,"0") &amp; "×(" &amp; (DAY(EOMONTH(AA20,0))-DAY(AA20)+IF(AA4,0,1)) &amp; "/" &amp; DAY(EOMONTH(AA20,0)) &amp; ") + $" &amp; TEXT(B22,"0") &amp; "×(" &amp; DAY(AA2) &amp; "/" &amp; DAY(EOMONTH(AA2,0)) &amp; ")" &amp; " +...", "跨月分段：$" &amp; TEXT(B22,"0") &amp; "×(" &amp; (DAY(EOMONTH(AA20,0))-DAY(AA20)+IF(AA4,0,1)) &amp; "/" &amp; DAY(EOMONTH(AA20,0)) &amp; ") + $" &amp; TEXT(B22,"0") &amp; "×(" &amp; DAY(AA2) &amp; "/" &amp; DAY(EOMONTH(AA2,0)) &amp; ")")), "無需找補"))</f>
        <v>跨月分段：$1030×(2/31) + $1030×(20/30)</v>
      </c>
      <c r="G32" s="48"/>
      <c r="H32" s="48"/>
    </row>
    <row r="33" spans="1:8" ht="31.95" customHeight="1" x14ac:dyDescent="0.3">
      <c r="A33" s="52" t="s">
        <v>84</v>
      </c>
      <c r="B33" s="52"/>
      <c r="C33" s="52"/>
      <c r="D33" s="31">
        <f>AB22</f>
        <v>0</v>
      </c>
      <c r="E33" s="32">
        <f>AB25</f>
        <v>10400</v>
      </c>
      <c r="F33" s="48" t="str">
        <f>IF(D33&gt;0, IF((TEXT(AA2,"yyyymm")=TEXT(AA21,"yyyymm")), "同月分算：$" &amp; TEXT(B23,"#,##0") &amp; " × (" &amp; (AA21-AA2+AA4) &amp; "天 / " &amp; DAY(EOMONTH(AA2,0)) &amp; "天)", IF(((YEAR(AA21)-YEAR(AA2))*12 + MONTH(AA21)-MONTH(AA2) &gt; 1), "跨月分段：$" &amp; TEXT(B23,"0") &amp; "×(" &amp; (DAY(EOMONTH(AA2,0))-DAY(AA2)+AA4) &amp; "/" &amp; DAY(EOMONTH(AA2,0)) &amp; ") + $" &amp; TEXT(B23,"0") &amp; "×(" &amp; DAY(AA21) &amp; "/" &amp; DAY(EOMONTH(AA21,0)) &amp; ")" &amp; " +...", "跨月分段：$" &amp; TEXT(B23,"0") &amp; "×(" &amp; (DAY(EOMONTH(AA2,0))-DAY(AA2)+AA4) &amp; "/" &amp; DAY(EOMONTH(AA2,0)) &amp; ") + $" &amp; TEXT(B23,"0") &amp; "×(" &amp; DAY(AA21) &amp; "/" &amp; DAY(EOMONTH(AA21,0)) &amp; ")")), IF(E33&gt;0, IF((TEXT(AA21,"yyyymm")=TEXT(AA2,"yyyymm")), "同月分算：$" &amp; TEXT(B23,"#,##0") &amp; " × (" &amp; (AA2-AA21+IF(AA4,0,1)) &amp; "天 / " &amp; DAY(EOMONTH(AA21,0)) &amp; "天)", IF(((YEAR(AA2)-YEAR(AA21))*12 + MONTH(AA2)-MONTH(AA21) &gt; 1), "跨月分段：$" &amp; TEXT(B23,"0") &amp; "×(" &amp; (DAY(EOMONTH(AA21,0))-DAY(AA21)+IF(AA4,0,1)) &amp; "/" &amp; DAY(EOMONTH(AA21,0)) &amp; ") + $" &amp; TEXT(B23,"0") &amp; "×(" &amp; DAY(AA2) &amp; "/" &amp; DAY(EOMONTH(AA2,0)) &amp; ")" &amp; " +...", "跨月分段：$" &amp; TEXT(B23,"0") &amp; "×(" &amp; (DAY(EOMONTH(AA21,0))-DAY(AA21)+IF(AA4,0,1)) &amp; "/" &amp; DAY(EOMONTH(AA21,0)) &amp; ") + $" &amp; TEXT(B23,"0") &amp; "×(" &amp; DAY(AA2) &amp; "/" &amp; DAY(EOMONTH(AA2,0)) &amp; ")")), "無需找補"))</f>
        <v>跨月分段：$5200×(11/30) + $5200×(20/30) +...</v>
      </c>
      <c r="G33" s="48"/>
      <c r="H33" s="48"/>
    </row>
    <row r="34" spans="1:8" ht="31.95" customHeight="1" x14ac:dyDescent="0.3">
      <c r="A34" s="52" t="s">
        <v>85</v>
      </c>
      <c r="B34" s="52"/>
      <c r="C34" s="52"/>
      <c r="D34" s="31">
        <f>交屋租金分算表!J28</f>
        <v>40674</v>
      </c>
      <c r="E34" s="32">
        <f>交屋租金分算表!D28</f>
        <v>55100</v>
      </c>
      <c r="F34" s="48" t="str">
        <f>"詳見【交屋租金分算表】。賣方應付小計(含押金轉移) vs 買方應付小計(含欠租補貼)"</f>
        <v>詳見【交屋租金分算表】。賣方應付小計(含押金轉移) vs 買方應付小計(含欠租補貼)</v>
      </c>
      <c r="G34" s="48"/>
      <c r="H34" s="48"/>
    </row>
    <row r="35" spans="1:8" ht="31.95" customHeight="1" x14ac:dyDescent="0.3">
      <c r="A35" s="52" t="s">
        <v>86</v>
      </c>
      <c r="B35" s="52"/>
      <c r="C35" s="52"/>
      <c r="D35" s="31">
        <f>SUM(B25:B27)</f>
        <v>600</v>
      </c>
      <c r="E35" s="32">
        <f>0</f>
        <v>0</v>
      </c>
      <c r="F35" s="48" t="str">
        <f>"明細：水費$" &amp; TEXT(B25,"#,##0") &amp; " + 電費$" &amp; TEXT(B26,"#,##0") &amp; " + 瓦斯$" &amp; TEXT(B27,"#,##0") &amp; " = 總計$" &amp; TEXT(D35,"#,##0")</f>
        <v>明細：水費$100 + 電費$200 + 瓦斯$300 = 總計$600</v>
      </c>
      <c r="G35" s="48"/>
      <c r="H35" s="48"/>
    </row>
    <row r="36" spans="1:8" ht="31.95" customHeight="1" x14ac:dyDescent="0.3">
      <c r="A36" s="52" t="s">
        <v>87</v>
      </c>
      <c r="B36" s="52"/>
      <c r="C36" s="52"/>
      <c r="D36" s="78">
        <v>100</v>
      </c>
      <c r="E36" s="32">
        <v>0</v>
      </c>
      <c r="F36" s="48" t="s">
        <v>88</v>
      </c>
      <c r="G36" s="48"/>
      <c r="H36" s="48"/>
    </row>
    <row r="37" spans="1:8" ht="31.95" customHeight="1" x14ac:dyDescent="0.3">
      <c r="A37" s="52" t="s">
        <v>89</v>
      </c>
      <c r="B37" s="52"/>
      <c r="C37" s="52"/>
      <c r="D37" s="31">
        <v>0</v>
      </c>
      <c r="E37" s="79">
        <v>100</v>
      </c>
      <c r="F37" s="48" t="s">
        <v>90</v>
      </c>
      <c r="G37" s="48"/>
      <c r="H37" s="48"/>
    </row>
    <row r="38" spans="1:8" ht="31.95" customHeight="1" x14ac:dyDescent="0.3">
      <c r="A38" s="52" t="s">
        <v>91</v>
      </c>
      <c r="B38" s="52"/>
      <c r="C38" s="52"/>
      <c r="D38" s="31">
        <f>SUM(D30:D37)</f>
        <v>46990</v>
      </c>
      <c r="E38" s="32">
        <f>SUM(E30:E37)</f>
        <v>68279</v>
      </c>
      <c r="F38" s="21"/>
      <c r="G38" s="21"/>
      <c r="H38" s="21"/>
    </row>
    <row r="39" spans="1:8" ht="55.05" customHeight="1" x14ac:dyDescent="0.3">
      <c r="A39" s="60" t="s">
        <v>92</v>
      </c>
      <c r="B39" s="54"/>
      <c r="C39" s="53" t="str">
        <f>IF(D38&gt;E38, "【買方】應支付給【賣方】 NT$ " &amp; TEXT(D38-E38, "#,##0"), IF(E38&gt;D38, "【賣方】應支付給【買方】 NT$ " &amp; TEXT(E38-D38, "#,##0"), "雙方無需找補"))</f>
        <v>【賣方】應支付給【買方】 NT$ 21,289</v>
      </c>
      <c r="D39" s="54"/>
      <c r="E39" s="54"/>
      <c r="F39" s="54"/>
      <c r="G39" s="54"/>
      <c r="H39" s="54"/>
    </row>
    <row r="40" spans="1:8" ht="31.95" customHeight="1" x14ac:dyDescent="0.3">
      <c r="A40" s="54"/>
      <c r="B40" s="54"/>
      <c r="C40" s="54"/>
      <c r="D40" s="54"/>
      <c r="E40" s="54"/>
      <c r="F40" s="54"/>
      <c r="G40" s="54"/>
      <c r="H40" s="54"/>
    </row>
    <row r="41" spans="1:8" ht="31.95" customHeight="1" x14ac:dyDescent="0.3"/>
    <row r="42" spans="1:8" ht="31.95" customHeight="1" x14ac:dyDescent="0.3">
      <c r="A42" s="62" t="s">
        <v>93</v>
      </c>
      <c r="B42" s="33"/>
      <c r="C42" s="33"/>
      <c r="D42" s="33"/>
      <c r="E42" s="33"/>
      <c r="F42" s="33"/>
      <c r="G42" s="33"/>
      <c r="H42" s="33"/>
    </row>
    <row r="43" spans="1:8" ht="31.95" customHeight="1" x14ac:dyDescent="0.3"/>
    <row r="44" spans="1:8" ht="31.95" customHeight="1" x14ac:dyDescent="0.3"/>
    <row r="45" spans="1:8" ht="31.95" customHeight="1" x14ac:dyDescent="0.3"/>
    <row r="46" spans="1:8" ht="31.95" customHeight="1" x14ac:dyDescent="0.3"/>
    <row r="47" spans="1:8" ht="31.95" customHeight="1" x14ac:dyDescent="0.3"/>
    <row r="48" spans="1:8" ht="31.95" customHeight="1" x14ac:dyDescent="0.3"/>
    <row r="49" ht="31.95" customHeight="1" x14ac:dyDescent="0.3"/>
  </sheetData>
  <mergeCells count="51">
    <mergeCell ref="A42:H42"/>
    <mergeCell ref="E18:G18"/>
    <mergeCell ref="D4:E4"/>
    <mergeCell ref="A14:H14"/>
    <mergeCell ref="A30:C30"/>
    <mergeCell ref="A5:H5"/>
    <mergeCell ref="A34:C34"/>
    <mergeCell ref="F29:H29"/>
    <mergeCell ref="A17:H17"/>
    <mergeCell ref="A4:B4"/>
    <mergeCell ref="F34:H34"/>
    <mergeCell ref="A36:C36"/>
    <mergeCell ref="A10:B10"/>
    <mergeCell ref="D23:E23"/>
    <mergeCell ref="A28:H28"/>
    <mergeCell ref="A13:B13"/>
    <mergeCell ref="A1:H1"/>
    <mergeCell ref="A16:B16"/>
    <mergeCell ref="A33:C33"/>
    <mergeCell ref="D2:E2"/>
    <mergeCell ref="F31:H31"/>
    <mergeCell ref="D13:E13"/>
    <mergeCell ref="A32:C32"/>
    <mergeCell ref="F30:H30"/>
    <mergeCell ref="A29:C29"/>
    <mergeCell ref="A3:B3"/>
    <mergeCell ref="F3:H4"/>
    <mergeCell ref="A12:B12"/>
    <mergeCell ref="A2:B2"/>
    <mergeCell ref="A21:H21"/>
    <mergeCell ref="A31:C31"/>
    <mergeCell ref="D3:E3"/>
    <mergeCell ref="A37:C37"/>
    <mergeCell ref="C39:H40"/>
    <mergeCell ref="F32:H32"/>
    <mergeCell ref="F35:H35"/>
    <mergeCell ref="D22:E22"/>
    <mergeCell ref="G23:H23"/>
    <mergeCell ref="A35:C35"/>
    <mergeCell ref="F37:H37"/>
    <mergeCell ref="A38:C38"/>
    <mergeCell ref="A39:B40"/>
    <mergeCell ref="G22:H22"/>
    <mergeCell ref="A15:B15"/>
    <mergeCell ref="E19:G19"/>
    <mergeCell ref="F36:H36"/>
    <mergeCell ref="G2:H2"/>
    <mergeCell ref="D10:H10"/>
    <mergeCell ref="A24:H24"/>
    <mergeCell ref="F33:H33"/>
    <mergeCell ref="E20:G20"/>
  </mergeCells>
  <phoneticPr fontId="21" type="noConversion"/>
  <dataValidations count="2">
    <dataValidation type="list" sqref="C4" xr:uid="{00000000-0002-0000-0100-000000000000}">
      <formula1>"是,否"</formula1>
    </dataValidation>
    <dataValidation type="list" sqref="F7:F9" xr:uid="{00000000-0002-0000-0100-000001000000}">
      <formula1>"自用住宅 (2‰),一般用地 (10‰)"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2000000}">
          <x14:formula1>
            <xm:f>稅率表!$A$2:$A$15</xm:f>
          </x14:formula1>
          <xm:sqref>C13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5" x14ac:dyDescent="0.3"/>
  <cols>
    <col min="1" max="1" width="50" customWidth="1"/>
  </cols>
  <sheetData>
    <row r="1" spans="1:2" x14ac:dyDescent="0.3">
      <c r="A1" t="s">
        <v>94</v>
      </c>
      <c r="B1" t="s">
        <v>95</v>
      </c>
    </row>
    <row r="2" spans="1:2" x14ac:dyDescent="0.3">
      <c r="A2" t="s">
        <v>96</v>
      </c>
      <c r="B2">
        <v>0.01</v>
      </c>
    </row>
    <row r="3" spans="1:2" x14ac:dyDescent="0.3">
      <c r="A3" t="s">
        <v>97</v>
      </c>
      <c r="B3">
        <v>1.2E-2</v>
      </c>
    </row>
    <row r="4" spans="1:2" x14ac:dyDescent="0.3">
      <c r="A4" t="s">
        <v>98</v>
      </c>
      <c r="B4">
        <v>1.2E-2</v>
      </c>
    </row>
    <row r="5" spans="1:2" x14ac:dyDescent="0.3">
      <c r="A5" t="s">
        <v>99</v>
      </c>
      <c r="B5">
        <v>1.4999999999999999E-2</v>
      </c>
    </row>
    <row r="6" spans="1:2" x14ac:dyDescent="0.3">
      <c r="A6" t="s">
        <v>100</v>
      </c>
      <c r="B6">
        <v>0.02</v>
      </c>
    </row>
    <row r="7" spans="1:2" x14ac:dyDescent="0.3">
      <c r="A7" t="s">
        <v>101</v>
      </c>
      <c r="B7">
        <v>2.4E-2</v>
      </c>
    </row>
    <row r="8" spans="1:2" x14ac:dyDescent="0.3">
      <c r="A8" t="s">
        <v>102</v>
      </c>
      <c r="B8">
        <v>3.2000000000000001E-2</v>
      </c>
    </row>
    <row r="9" spans="1:2" x14ac:dyDescent="0.3">
      <c r="A9" t="s">
        <v>103</v>
      </c>
      <c r="B9">
        <v>3.7999999999999999E-2</v>
      </c>
    </row>
    <row r="10" spans="1:2" x14ac:dyDescent="0.3">
      <c r="A10" t="s">
        <v>104</v>
      </c>
      <c r="B10">
        <v>4.2000000000000003E-2</v>
      </c>
    </row>
    <row r="11" spans="1:2" x14ac:dyDescent="0.3">
      <c r="A11" t="s">
        <v>105</v>
      </c>
      <c r="B11">
        <v>4.8000000000000001E-2</v>
      </c>
    </row>
    <row r="12" spans="1:2" x14ac:dyDescent="0.3">
      <c r="A12" t="s">
        <v>106</v>
      </c>
      <c r="B12">
        <v>0.03</v>
      </c>
    </row>
    <row r="13" spans="1:2" x14ac:dyDescent="0.3">
      <c r="A13" t="s">
        <v>107</v>
      </c>
      <c r="B13">
        <v>0.03</v>
      </c>
    </row>
    <row r="14" spans="1:2" x14ac:dyDescent="0.3">
      <c r="A14" t="s">
        <v>108</v>
      </c>
      <c r="B14">
        <v>0.02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交屋租金分算表</vt:lpstr>
      <vt:lpstr>專業稅費分算計算機</vt:lpstr>
      <vt:lpstr>稅率表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znom</cp:lastModifiedBy>
  <dcterms:created xsi:type="dcterms:W3CDTF">2025-11-29T14:49:06Z</dcterms:created>
  <dcterms:modified xsi:type="dcterms:W3CDTF">2025-11-29T15:01:05Z</dcterms:modified>
</cp:coreProperties>
</file>