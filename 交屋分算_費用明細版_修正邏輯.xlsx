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TAX-COMPUTE\"/>
    </mc:Choice>
  </mc:AlternateContent>
  <xr:revisionPtr revIDLastSave="0" documentId="13_ncr:1_{E13D4D15-F0E7-4F2C-9443-73DE84CA5B73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交屋分算(費用明細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C5" i="1"/>
  <c r="C4" i="1"/>
  <c r="C3" i="1"/>
  <c r="D31" i="1" l="1"/>
  <c r="J30" i="1"/>
  <c r="D40" i="1" s="1"/>
  <c r="A40" i="1" s="1"/>
</calcChain>
</file>

<file path=xl/sharedStrings.xml><?xml version="1.0" encoding="utf-8"?>
<sst xmlns="http://schemas.openxmlformats.org/spreadsheetml/2006/main" count="29" uniqueCount="28">
  <si>
    <t>不動產交屋 · 租金分算結算表 (費用明細版)</t>
  </si>
  <si>
    <t>交屋日期 (7碼)</t>
  </si>
  <si>
    <t>交屋日算誰的</t>
  </si>
  <si>
    <t>計算基準</t>
  </si>
  <si>
    <t>當月實際天數</t>
  </si>
  <si>
    <t>房號/租客</t>
  </si>
  <si>
    <t>租期起</t>
  </si>
  <si>
    <t>租期訖</t>
  </si>
  <si>
    <t>月租金</t>
  </si>
  <si>
    <t>押金</t>
  </si>
  <si>
    <t>租客已繳至</t>
  </si>
  <si>
    <t>賣方補貼買方
(計算詳情)</t>
  </si>
  <si>
    <t>補貼金額</t>
  </si>
  <si>
    <t>買方補貼賣方
(計算詳情)</t>
  </si>
  <si>
    <t>賣方應付項目 (Debits)</t>
  </si>
  <si>
    <t>買方應付項目 (Credits) - 含代墊費用</t>
  </si>
  <si>
    <t>1. 押金移轉</t>
  </si>
  <si>
    <t>1. 買方補貼賣方 (短收租金)</t>
  </si>
  <si>
    <t>2. 賣方補貼買方 (溢收租金)</t>
  </si>
  <si>
    <t>2. 機上盒保證金</t>
  </si>
  <si>
    <t>3. 有線電視費用</t>
  </si>
  <si>
    <t>4. 網路費用</t>
  </si>
  <si>
    <t>5. 監視器費用</t>
  </si>
  <si>
    <t>6. 寬頻押金</t>
  </si>
  <si>
    <t>其他費用 (1)</t>
  </si>
  <si>
    <t>其他費用 (2)</t>
  </si>
  <si>
    <t>301 (範例)</t>
    <phoneticPr fontId="10" type="noConversion"/>
  </si>
  <si>
    <t>歸賣方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</si>
</sst>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8"/>
      <color rgb="FF1E293B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0F172A"/>
      <name val="微軟正黑體"/>
      <family val="2"/>
      <charset val="136"/>
    </font>
    <font>
      <sz val="9"/>
      <color rgb="FF64748B"/>
      <name val="微軟正黑體"/>
      <family val="2"/>
      <charset val="136"/>
    </font>
    <font>
      <sz val="11"/>
      <color rgb="FF334155"/>
      <name val="微軟正黑體"/>
      <family val="2"/>
      <charset val="136"/>
    </font>
    <font>
      <b/>
      <sz val="11"/>
      <color rgb="FF881337"/>
      <name val="微軟正黑體"/>
      <family val="2"/>
      <charset val="136"/>
    </font>
    <font>
      <b/>
      <sz val="11"/>
      <color rgb="FF064E3B"/>
      <name val="微軟正黑體"/>
      <family val="2"/>
      <charset val="136"/>
    </font>
    <font>
      <b/>
      <sz val="16"/>
      <color rgb="FF9A3412"/>
      <name val="微軟正黑體"/>
      <family val="2"/>
      <charset val="136"/>
    </font>
    <font>
      <b/>
      <sz val="14"/>
      <color rgb="FF1E293B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64748B"/>
      </patternFill>
    </fill>
    <fill>
      <patternFill patternType="solid">
        <fgColor rgb="FF059669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E11D48"/>
      </patternFill>
    </fill>
    <fill>
      <patternFill patternType="solid">
        <fgColor rgb="FFFFEDD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334155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3" fontId="5" fillId="3" borderId="1" xfId="0" applyNumberFormat="1" applyFont="1" applyFill="1" applyBorder="1" applyAlignment="1" applyProtection="1">
      <alignment horizontal="center" vertical="center"/>
      <protection locked="0"/>
    </xf>
    <xf numFmtId="1" fontId="5" fillId="3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7" fillId="3" borderId="1" xfId="0" applyNumberFormat="1" applyFont="1" applyFill="1" applyBorder="1" applyAlignment="1" applyProtection="1">
      <alignment horizontal="righ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2" fillId="6" borderId="1" xfId="0" applyFont="1" applyFill="1" applyBorder="1" applyAlignment="1">
      <alignment horizontal="left" vertical="center"/>
    </xf>
    <xf numFmtId="0" fontId="0" fillId="0" borderId="0" xfId="0"/>
    <xf numFmtId="3" fontId="8" fillId="1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tabSelected="1" workbookViewId="0">
      <selection activeCell="B14" sqref="B14"/>
    </sheetView>
  </sheetViews>
  <sheetFormatPr defaultRowHeight="15" x14ac:dyDescent="0.3"/>
  <cols>
    <col min="1" max="1" width="32.625" bestFit="1" customWidth="1"/>
    <col min="2" max="2" width="19.125" customWidth="1"/>
    <col min="3" max="3" width="13.25" customWidth="1"/>
    <col min="6" max="6" width="15" customWidth="1"/>
    <col min="7" max="7" width="29.25" bestFit="1" customWidth="1"/>
    <col min="8" max="8" width="11.5" bestFit="1" customWidth="1"/>
    <col min="9" max="9" width="29.25" bestFit="1" customWidth="1"/>
    <col min="10" max="10" width="11.5" bestFit="1" customWidth="1"/>
  </cols>
  <sheetData>
    <row r="1" spans="1:10" ht="31.8" customHeight="1" x14ac:dyDescent="0.3">
      <c r="A1" s="27" t="s">
        <v>0</v>
      </c>
      <c r="B1" s="22"/>
      <c r="C1" s="22"/>
      <c r="D1" s="22"/>
      <c r="E1" s="22"/>
      <c r="F1" s="22"/>
      <c r="G1" s="22"/>
      <c r="H1" s="22"/>
    </row>
    <row r="3" spans="1:10" ht="25.8" customHeight="1" x14ac:dyDescent="0.3">
      <c r="A3" s="1" t="s">
        <v>1</v>
      </c>
      <c r="B3" s="2">
        <v>1141127</v>
      </c>
      <c r="C3" s="25" t="str">
        <f>IF(B3="","", "📅 " &amp; TEXT(DATE(1911+LEFT(B3,3),MID(B3,4,2),RIGHT(B3,2)),"yyyy年mm月dd日"))</f>
        <v>📅 2025年11月27日</v>
      </c>
      <c r="D3" s="22"/>
      <c r="E3" s="22"/>
    </row>
    <row r="4" spans="1:10" ht="27" customHeight="1" x14ac:dyDescent="0.3">
      <c r="A4" s="1" t="s">
        <v>2</v>
      </c>
      <c r="B4" s="3" t="s">
        <v>27</v>
      </c>
      <c r="C4" s="25" t="str">
        <f>"⚖️ 權益切割：交屋日當天歸 " &amp; RIGHT(B4,2)</f>
        <v>⚖️ 權益切割：交屋日當天歸 賣方</v>
      </c>
      <c r="D4" s="22"/>
      <c r="E4" s="22"/>
    </row>
    <row r="5" spans="1:10" ht="27.6" customHeight="1" x14ac:dyDescent="0.3">
      <c r="A5" s="1" t="s">
        <v>3</v>
      </c>
      <c r="B5" s="4" t="s">
        <v>4</v>
      </c>
      <c r="C5" s="25" t="str">
        <f>IF(B3="","", "📊 分母：依交屋當月總天數 (" &amp; DAY(EOMONTH(DATE(1911+LEFT(B3,3),MID(B3,4,2),RIGHT(B3,2)),0)) &amp; "天) 計算日租金")</f>
        <v>📊 分母：依交屋當月總天數 (30天) 計算日租金</v>
      </c>
      <c r="D5" s="22"/>
      <c r="E5" s="22"/>
      <c r="F5" s="22"/>
    </row>
    <row r="7" spans="1:10" ht="29.4" customHeight="1" x14ac:dyDescent="0.3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6" t="s">
        <v>10</v>
      </c>
      <c r="G7" s="7" t="s">
        <v>11</v>
      </c>
      <c r="H7" s="5" t="s">
        <v>12</v>
      </c>
      <c r="I7" s="7" t="s">
        <v>13</v>
      </c>
      <c r="J7" s="5" t="s">
        <v>12</v>
      </c>
    </row>
    <row r="8" spans="1:10" ht="42" customHeight="1" x14ac:dyDescent="0.3">
      <c r="A8" s="8" t="s">
        <v>26</v>
      </c>
      <c r="B8" s="9">
        <v>1141122</v>
      </c>
      <c r="C8" s="9">
        <v>1141221</v>
      </c>
      <c r="D8" s="10">
        <v>15000</v>
      </c>
      <c r="E8" s="10">
        <v>30000</v>
      </c>
      <c r="F8" s="11">
        <v>1141221</v>
      </c>
      <c r="G8" s="12" t="str">
        <f t="shared" ref="G8:G27" si="0">IF(AND(A8&lt;&gt;"", D8&lt;&gt;"", F8&lt;&gt;""), IF(MAX(0, DATE(1911+LEFT(IF(F8="", IF($B$3="", 1140101, $B$3), F8),3),MID(IF(F8="", IF($B$3="", 1140101, $B$3), F8),4,2),RIGHT(IF(F8="", IF($B$3="", 1140101, $B$3), F8),2)) - IF($B$4="歸買方", DATE(1911+LEFT(IF($B$3="", 1140101, $B$3),3),MID(IF($B$3="", 1140101, $B$3),4,2),RIGHT(IF($B$3="", 1140101, $B$3),2)), DATE(1911+LEFT(IF($B$3="", 1140101, $B$3),3),MID(IF($B$3="", 1140101, $B$3),4,2),RIGHT(IF($B$3="", 1140101, $B$3),2))+1) + 1)&gt;0,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TEXT(DATE(1911+LEFT(IF(F8="", IF($B$3="", 1140101, $B$3), F8),3),MID(IF(F8="", IF($B$3="", 1140101, $B$3), F8),4,2),RIGHT(IF(F8="", IF($B$3="", 1140101, $B$3), F8),2)), "mm/dd") &amp; " (" &amp; MAX(0, DATE(1911+LEFT(IF(F8="", IF($B$3="", 1140101, $B$3), F8),3),MID(IF(F8="", IF($B$3="", 1140101, $B$3), F8),4,2),RIGHT(IF(F8="", IF($B$3="", 1140101, $B$3), F8),2)) - IF($B$4="歸買方", DATE(1911+LEFT(IF($B$3="", 1140101, $B$3),3),MID(IF($B$3="", 1140101, $B$3),4,2),RIGHT(IF($B$3="", 1140101, $B$3),2)), DATE(1911+LEFT(IF($B$3="", 1140101, $B$3),3),MID(IF($B$3="", 1140101, $B$3),4,2),RIGHT(IF($B$3="", 1140101, $B$3),2))+1) + 1) &amp; "天)" &amp; CHAR(10) &amp; "$" &amp; TEXT(D8, "#,##0") &amp; "×(" &amp; MAX(0, DATE(1911+LEFT(IF(F8="", IF($B$3="", 1140101, $B$3), F8),3),MID(IF(F8="", IF($B$3="", 1140101, $B$3), F8),4,2),RIGHT(IF(F8="", IF($B$3="", 1140101, $B$3), F8),2)) - IF($B$4="歸買方", DATE(1911+LEFT(IF($B$3="", 1140101, $B$3),3),MID(IF($B$3="", 1140101, $B$3),4,2),RIGHT(IF($B$3="", 1140101, $B$3),2)), DATE(1911+LEFT(IF($B$3="", 1140101, $B$3),3),MID(IF($B$3="", 1140101, $B$3),4,2),RIGHT(IF($B$3="", 1140101, $B$3),2))+1) + 1) &amp; "/" &amp; DAY(EOMONTH(DATE(1911+LEFT(IF($B$3="", 1140101, $B$3),3),MID(IF($B$3="", 1140101, $B$3),4,2),RIGHT(IF($B$3="", 1140101, $B$3),2)),0)) &amp; ")", ""), "")</f>
        <v>11/28~12/21 (24天)
$15,000×(24/30)</v>
      </c>
      <c r="H8" s="13">
        <f t="shared" ref="H8:H27" si="1">IF(AND(A8&lt;&gt;"", D8&lt;&gt;"", F8&lt;&gt;""), IF(MAX(0, DATE(1911+LEFT(IF(F8="", IF($B$3="", 1140101, $B$3), F8),3),MID(IF(F8="", IF($B$3="", 1140101, $B$3), F8),4,2),RIGHT(IF(F8="", IF($B$3="", 1140101, $B$3), F8),2)) - IF($B$4="歸買方", DATE(1911+LEFT(IF($B$3="", 1140101, $B$3),3),MID(IF($B$3="", 1140101, $B$3),4,2),RIGHT(IF($B$3="", 1140101, $B$3),2)), DATE(1911+LEFT(IF($B$3="", 1140101, $B$3),3),MID(IF($B$3="", 1140101, $B$3),4,2),RIGHT(IF($B$3="", 1140101, $B$3),2))+1) + 1)&gt;0, ROUND(D8/DAY(EOMONTH(DATE(1911+LEFT(IF($B$3="", 1140101, $B$3),3),MID(IF($B$3="", 1140101, $B$3),4,2),RIGHT(IF($B$3="", 1140101, $B$3),2)),0))*MAX(0, DATE(1911+LEFT(IF(F8="", IF($B$3="", 1140101, $B$3), F8),3),MID(IF(F8="", IF($B$3="", 1140101, $B$3), F8),4,2),RIGHT(IF(F8="", IF($B$3="", 1140101, $B$3), F8),2)) - IF($B$4="歸買方", DATE(1911+LEFT(IF($B$3="", 1140101, $B$3),3),MID(IF($B$3="", 1140101, $B$3),4,2),RIGHT(IF($B$3="", 1140101, $B$3),2)), DATE(1911+LEFT(IF($B$3="", 1140101, $B$3),3),MID(IF($B$3="", 1140101, $B$3),4,2),RIGHT(IF($B$3="", 1140101, $B$3),2))+1) + 1), 0), 0), "")</f>
        <v>12000</v>
      </c>
      <c r="I8" s="14" t="str">
        <f t="shared" ref="I8:I27" si="2">IF(AND(A8&lt;&gt;"", D8&lt;&gt;"", F8&lt;&gt;""), IF(MAX(0,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 - MIN(EOMONTH(DATE(1911+LEFT(IF($B$3="", 1140101, $B$3),3),MID(IF($B$3="", 1140101, $B$3),4,2),RIGHT(IF($B$3="", 1140101, $B$3),2)),0), DATE(1911+LEFT(IF(F8="", IF($B$3="", 1140101, $B$3), F8),3),MID(IF(F8="", IF($B$3="", 1140101, $B$3), F8),4,2),RIGHT(IF(F8="", IF($B$3="", 1140101, $B$3), F8),2))) - DATE(YEAR(DATE(1911+LEFT(IF($B$3="", 1140101, $B$3),3),MID(IF($B$3="", 1140101, $B$3),4,2),RIGHT(IF($B$3="", 1140101, $B$3),2))),MONTH(DATE(1911+LEFT(IF($B$3="", 1140101, $B$3),3),MID(IF($B$3="", 1140101, $B$3),4,2),RIGHT(IF($B$3="", 1140101, $B$3),2))),1) + 1)&gt;0,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DATE(1911+LEFT(IF(F8="", IF($B$3="", 1140101, $B$3), F8),3),MID(IF(F8="", IF($B$3="", 1140101, $B$3), F8),4,2),RIGHT(IF(F8="", IF($B$3="", 1140101, $B$3), F8),2))+1),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 - MIN(EOMONTH(DATE(1911+LEFT(IF($B$3="", 1140101, $B$3),3),MID(IF($B$3="", 1140101, $B$3),4,2),RIGHT(IF($B$3="", 1140101, $B$3),2)),0), DATE(1911+LEFT(IF(F8="", IF($B$3="", 1140101, $B$3), F8),3),MID(IF(F8="", IF($B$3="", 1140101, $B$3), F8),4,2),RIGHT(IF(F8="", IF($B$3="", 1140101, $B$3), F8),2))) - DATE(YEAR(DATE(1911+LEFT(IF($B$3="", 1140101, $B$3),3),MID(IF($B$3="", 1140101, $B$3),4,2),RIGHT(IF($B$3="", 1140101, $B$3),2))),MONTH(DATE(1911+LEFT(IF($B$3="", 1140101, $B$3),3),MID(IF($B$3="", 1140101, $B$3),4,2),RIGHT(IF($B$3="", 1140101, $B$3),2))),1) + 1) &amp; "天)" &amp; CHAR(10) &amp; "$" &amp; TEXT(D8, "#,##0") &amp; "×(" &amp;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 - MIN(EOMONTH(DATE(1911+LEFT(IF($B$3="", 1140101, $B$3),3),MID(IF($B$3="", 1140101, $B$3),4,2),RIGHT(IF($B$3="", 1140101, $B$3),2)),0), DATE(1911+LEFT(IF(F8="", IF($B$3="", 1140101, $B$3), F8),3),MID(IF(F8="", IF($B$3="", 1140101, $B$3), F8),4,2),RIGHT(IF(F8="", IF($B$3="", 1140101, $B$3), F8),2))) - DATE(YEAR(DATE(1911+LEFT(IF($B$3="", 1140101, $B$3),3),MID(IF($B$3="", 1140101, $B$3),4,2),RIGHT(IF($B$3="", 1140101, $B$3),2))),MONTH(DATE(1911+LEFT(IF($B$3="", 1140101, $B$3),3),MID(IF($B$3="", 1140101, $B$3),4,2),RIGHT(IF($B$3="", 1140101, $B$3),2))),1) + 1) &amp; "/" &amp; DAY(EOMONTH(DATE(1911+LEFT(IF($B$3="", 1140101, $B$3),3),MID(IF($B$3="", 1140101, $B$3),4,2),RIGHT(IF($B$3="", 1140101, $B$3),2)),0)) &amp; ")", ""), "")</f>
        <v/>
      </c>
      <c r="J8" s="15">
        <f t="shared" ref="J8:J27" si="3">IF(AND(A8&lt;&gt;"", D8&lt;&gt;"", F8&lt;&gt;""), IF(MAX(0,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 - MIN(EOMONTH(DATE(1911+LEFT(IF($B$3="", 1140101, $B$3),3),MID(IF($B$3="", 1140101, $B$3),4,2),RIGHT(IF($B$3="", 1140101, $B$3),2)),0), DATE(1911+LEFT(IF(F8="", IF($B$3="", 1140101, $B$3), F8),3),MID(IF(F8="", IF($B$3="", 1140101, $B$3), F8),4,2),RIGHT(IF(F8="", IF($B$3="", 1140101, $B$3), F8),2))) - DATE(YEAR(DATE(1911+LEFT(IF($B$3="", 1140101, $B$3),3),MID(IF($B$3="", 1140101, $B$3),4,2),RIGHT(IF($B$3="", 1140101, $B$3),2))),MONTH(DATE(1911+LEFT(IF($B$3="", 1140101, $B$3),3),MID(IF($B$3="", 1140101, $B$3),4,2),RIGHT(IF($B$3="", 1140101, $B$3),2))),1) + 1)&gt;0, ROUND(D8/DAY(EOMONTH(DATE(1911+LEFT(IF($B$3="", 1140101, $B$3),3),MID(IF($B$3="", 1140101, $B$3),4,2),RIGHT(IF($B$3="", 1140101, $B$3),2)),0))*MAX(0,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 - MIN(EOMONTH(DATE(1911+LEFT(IF($B$3="", 1140101, $B$3),3),MID(IF($B$3="", 1140101, $B$3),4,2),RIGHT(IF($B$3="", 1140101, $B$3),2)),0), DATE(1911+LEFT(IF(F8="", IF($B$3="", 1140101, $B$3), F8),3),MID(IF(F8="", IF($B$3="", 1140101, $B$3), F8),4,2),RIGHT(IF(F8="", IF($B$3="", 1140101, $B$3), F8),2))) - DATE(YEAR(DATE(1911+LEFT(IF($B$3="", 1140101, $B$3),3),MID(IF($B$3="", 1140101, $B$3),4,2),RIGHT(IF($B$3="", 1140101, $B$3),2))),MONTH(DATE(1911+LEFT(IF($B$3="", 1140101, $B$3),3),MID(IF($B$3="", 1140101, $B$3),4,2),RIGHT(IF($B$3="", 1140101, $B$3),2))),1) + 1), 0), 0), "")</f>
        <v>0</v>
      </c>
    </row>
    <row r="9" spans="1:10" x14ac:dyDescent="0.3">
      <c r="A9" s="8"/>
      <c r="B9" s="9">
        <v>1141107</v>
      </c>
      <c r="C9" s="9">
        <v>1141206</v>
      </c>
      <c r="D9" s="10">
        <v>13500</v>
      </c>
      <c r="E9" s="10">
        <v>27000</v>
      </c>
      <c r="F9" s="11">
        <v>1141107</v>
      </c>
      <c r="G9" s="12" t="str">
        <f t="shared" si="0"/>
        <v/>
      </c>
      <c r="H9" s="13" t="str">
        <f t="shared" si="1"/>
        <v/>
      </c>
      <c r="I9" s="14" t="str">
        <f t="shared" si="2"/>
        <v/>
      </c>
      <c r="J9" s="15" t="str">
        <f t="shared" si="3"/>
        <v/>
      </c>
    </row>
    <row r="10" spans="1:10" x14ac:dyDescent="0.3">
      <c r="A10" s="8"/>
      <c r="B10" s="9">
        <v>1141116</v>
      </c>
      <c r="C10" s="9">
        <v>1141215</v>
      </c>
      <c r="D10" s="10">
        <v>13000</v>
      </c>
      <c r="E10" s="10">
        <v>26000</v>
      </c>
      <c r="F10" s="11">
        <v>1141215</v>
      </c>
      <c r="G10" s="12" t="str">
        <f t="shared" si="0"/>
        <v/>
      </c>
      <c r="H10" s="13" t="str">
        <f t="shared" si="1"/>
        <v/>
      </c>
      <c r="I10" s="14" t="str">
        <f t="shared" si="2"/>
        <v/>
      </c>
      <c r="J10" s="15" t="str">
        <f t="shared" si="3"/>
        <v/>
      </c>
    </row>
    <row r="11" spans="1:10" x14ac:dyDescent="0.3">
      <c r="A11" s="8"/>
      <c r="B11" s="9">
        <v>1141030</v>
      </c>
      <c r="C11" s="9">
        <v>1141129</v>
      </c>
      <c r="D11" s="10">
        <v>9500</v>
      </c>
      <c r="E11" s="10">
        <v>19000</v>
      </c>
      <c r="F11" s="11">
        <v>1141129</v>
      </c>
      <c r="G11" s="12" t="str">
        <f t="shared" si="0"/>
        <v/>
      </c>
      <c r="H11" s="13" t="str">
        <f t="shared" si="1"/>
        <v/>
      </c>
      <c r="I11" s="14" t="str">
        <f t="shared" si="2"/>
        <v/>
      </c>
      <c r="J11" s="15" t="str">
        <f t="shared" si="3"/>
        <v/>
      </c>
    </row>
    <row r="12" spans="1:10" x14ac:dyDescent="0.3">
      <c r="A12" s="8"/>
      <c r="B12" s="9">
        <v>1141116</v>
      </c>
      <c r="C12" s="9">
        <v>1141215</v>
      </c>
      <c r="D12" s="10">
        <v>11600</v>
      </c>
      <c r="E12" s="10">
        <v>23200</v>
      </c>
      <c r="F12" s="11">
        <v>1141215</v>
      </c>
      <c r="G12" s="12" t="str">
        <f t="shared" si="0"/>
        <v/>
      </c>
      <c r="H12" s="13" t="str">
        <f t="shared" si="1"/>
        <v/>
      </c>
      <c r="I12" s="14" t="str">
        <f t="shared" si="2"/>
        <v/>
      </c>
      <c r="J12" s="15" t="str">
        <f t="shared" si="3"/>
        <v/>
      </c>
    </row>
    <row r="13" spans="1:10" x14ac:dyDescent="0.3">
      <c r="A13" s="8"/>
      <c r="B13" s="9">
        <v>1141101</v>
      </c>
      <c r="C13" s="9">
        <v>1141130</v>
      </c>
      <c r="D13" s="10">
        <v>22000</v>
      </c>
      <c r="E13" s="10">
        <v>31600</v>
      </c>
      <c r="F13" s="11">
        <v>1141130</v>
      </c>
      <c r="G13" s="12" t="str">
        <f t="shared" si="0"/>
        <v/>
      </c>
      <c r="H13" s="13" t="str">
        <f t="shared" si="1"/>
        <v/>
      </c>
      <c r="I13" s="14" t="str">
        <f t="shared" si="2"/>
        <v/>
      </c>
      <c r="J13" s="15" t="str">
        <f t="shared" si="3"/>
        <v/>
      </c>
    </row>
    <row r="14" spans="1:10" x14ac:dyDescent="0.3">
      <c r="A14" s="8"/>
      <c r="B14" s="9"/>
      <c r="C14" s="9"/>
      <c r="D14" s="10"/>
      <c r="E14" s="10"/>
      <c r="F14" s="11"/>
      <c r="G14" s="12" t="str">
        <f t="shared" si="0"/>
        <v/>
      </c>
      <c r="H14" s="13" t="str">
        <f t="shared" si="1"/>
        <v/>
      </c>
      <c r="I14" s="14" t="str">
        <f t="shared" si="2"/>
        <v/>
      </c>
      <c r="J14" s="15" t="str">
        <f t="shared" si="3"/>
        <v/>
      </c>
    </row>
    <row r="15" spans="1:10" x14ac:dyDescent="0.3">
      <c r="A15" s="8"/>
      <c r="B15" s="9"/>
      <c r="C15" s="9"/>
      <c r="D15" s="10"/>
      <c r="E15" s="10"/>
      <c r="F15" s="11"/>
      <c r="G15" s="12" t="str">
        <f t="shared" si="0"/>
        <v/>
      </c>
      <c r="H15" s="13" t="str">
        <f t="shared" si="1"/>
        <v/>
      </c>
      <c r="I15" s="14" t="str">
        <f t="shared" si="2"/>
        <v/>
      </c>
      <c r="J15" s="15" t="str">
        <f t="shared" si="3"/>
        <v/>
      </c>
    </row>
    <row r="16" spans="1:10" x14ac:dyDescent="0.3">
      <c r="A16" s="8"/>
      <c r="B16" s="9"/>
      <c r="C16" s="9"/>
      <c r="D16" s="10"/>
      <c r="E16" s="10"/>
      <c r="F16" s="11"/>
      <c r="G16" s="12" t="str">
        <f t="shared" si="0"/>
        <v/>
      </c>
      <c r="H16" s="13" t="str">
        <f t="shared" si="1"/>
        <v/>
      </c>
      <c r="I16" s="14" t="str">
        <f t="shared" si="2"/>
        <v/>
      </c>
      <c r="J16" s="15" t="str">
        <f t="shared" si="3"/>
        <v/>
      </c>
    </row>
    <row r="17" spans="1:10" x14ac:dyDescent="0.3">
      <c r="A17" s="8"/>
      <c r="B17" s="9"/>
      <c r="C17" s="9"/>
      <c r="D17" s="10"/>
      <c r="E17" s="10"/>
      <c r="F17" s="11"/>
      <c r="G17" s="12" t="str">
        <f t="shared" si="0"/>
        <v/>
      </c>
      <c r="H17" s="13" t="str">
        <f t="shared" si="1"/>
        <v/>
      </c>
      <c r="I17" s="14" t="str">
        <f t="shared" si="2"/>
        <v/>
      </c>
      <c r="J17" s="15" t="str">
        <f t="shared" si="3"/>
        <v/>
      </c>
    </row>
    <row r="18" spans="1:10" x14ac:dyDescent="0.3">
      <c r="A18" s="8"/>
      <c r="B18" s="9"/>
      <c r="C18" s="9"/>
      <c r="D18" s="10"/>
      <c r="E18" s="10"/>
      <c r="F18" s="11"/>
      <c r="G18" s="12" t="str">
        <f t="shared" si="0"/>
        <v/>
      </c>
      <c r="H18" s="13" t="str">
        <f t="shared" si="1"/>
        <v/>
      </c>
      <c r="I18" s="14" t="str">
        <f t="shared" si="2"/>
        <v/>
      </c>
      <c r="J18" s="15" t="str">
        <f t="shared" si="3"/>
        <v/>
      </c>
    </row>
    <row r="19" spans="1:10" x14ac:dyDescent="0.3">
      <c r="A19" s="8"/>
      <c r="B19" s="9"/>
      <c r="C19" s="9"/>
      <c r="D19" s="10"/>
      <c r="E19" s="10"/>
      <c r="F19" s="11"/>
      <c r="G19" s="12" t="str">
        <f t="shared" si="0"/>
        <v/>
      </c>
      <c r="H19" s="13" t="str">
        <f t="shared" si="1"/>
        <v/>
      </c>
      <c r="I19" s="14" t="str">
        <f t="shared" si="2"/>
        <v/>
      </c>
      <c r="J19" s="15" t="str">
        <f t="shared" si="3"/>
        <v/>
      </c>
    </row>
    <row r="20" spans="1:10" x14ac:dyDescent="0.3">
      <c r="A20" s="8"/>
      <c r="B20" s="9"/>
      <c r="C20" s="9"/>
      <c r="D20" s="10"/>
      <c r="E20" s="10"/>
      <c r="F20" s="11"/>
      <c r="G20" s="12" t="str">
        <f t="shared" si="0"/>
        <v/>
      </c>
      <c r="H20" s="13" t="str">
        <f t="shared" si="1"/>
        <v/>
      </c>
      <c r="I20" s="14" t="str">
        <f t="shared" si="2"/>
        <v/>
      </c>
      <c r="J20" s="15" t="str">
        <f t="shared" si="3"/>
        <v/>
      </c>
    </row>
    <row r="21" spans="1:10" x14ac:dyDescent="0.3">
      <c r="A21" s="8"/>
      <c r="B21" s="9"/>
      <c r="C21" s="9"/>
      <c r="D21" s="10"/>
      <c r="E21" s="10"/>
      <c r="F21" s="11"/>
      <c r="G21" s="12" t="str">
        <f t="shared" si="0"/>
        <v/>
      </c>
      <c r="H21" s="13" t="str">
        <f t="shared" si="1"/>
        <v/>
      </c>
      <c r="I21" s="14" t="str">
        <f t="shared" si="2"/>
        <v/>
      </c>
      <c r="J21" s="15" t="str">
        <f t="shared" si="3"/>
        <v/>
      </c>
    </row>
    <row r="22" spans="1:10" x14ac:dyDescent="0.3">
      <c r="A22" s="8"/>
      <c r="B22" s="9"/>
      <c r="C22" s="9"/>
      <c r="D22" s="10"/>
      <c r="E22" s="10"/>
      <c r="F22" s="11"/>
      <c r="G22" s="12" t="str">
        <f t="shared" si="0"/>
        <v/>
      </c>
      <c r="H22" s="13" t="str">
        <f t="shared" si="1"/>
        <v/>
      </c>
      <c r="I22" s="14" t="str">
        <f t="shared" si="2"/>
        <v/>
      </c>
      <c r="J22" s="15" t="str">
        <f t="shared" si="3"/>
        <v/>
      </c>
    </row>
    <row r="23" spans="1:10" x14ac:dyDescent="0.3">
      <c r="A23" s="8"/>
      <c r="B23" s="9"/>
      <c r="C23" s="9"/>
      <c r="D23" s="10"/>
      <c r="E23" s="10"/>
      <c r="F23" s="11"/>
      <c r="G23" s="12" t="str">
        <f t="shared" si="0"/>
        <v/>
      </c>
      <c r="H23" s="13" t="str">
        <f t="shared" si="1"/>
        <v/>
      </c>
      <c r="I23" s="14" t="str">
        <f t="shared" si="2"/>
        <v/>
      </c>
      <c r="J23" s="15" t="str">
        <f t="shared" si="3"/>
        <v/>
      </c>
    </row>
    <row r="24" spans="1:10" x14ac:dyDescent="0.3">
      <c r="A24" s="8"/>
      <c r="B24" s="9"/>
      <c r="C24" s="9"/>
      <c r="D24" s="10"/>
      <c r="E24" s="10"/>
      <c r="F24" s="11"/>
      <c r="G24" s="12" t="str">
        <f t="shared" si="0"/>
        <v/>
      </c>
      <c r="H24" s="13" t="str">
        <f t="shared" si="1"/>
        <v/>
      </c>
      <c r="I24" s="14" t="str">
        <f t="shared" si="2"/>
        <v/>
      </c>
      <c r="J24" s="15" t="str">
        <f t="shared" si="3"/>
        <v/>
      </c>
    </row>
    <row r="25" spans="1:10" x14ac:dyDescent="0.3">
      <c r="A25" s="8"/>
      <c r="B25" s="9"/>
      <c r="C25" s="9"/>
      <c r="D25" s="10"/>
      <c r="E25" s="10"/>
      <c r="F25" s="11"/>
      <c r="G25" s="12" t="str">
        <f t="shared" si="0"/>
        <v/>
      </c>
      <c r="H25" s="13" t="str">
        <f t="shared" si="1"/>
        <v/>
      </c>
      <c r="I25" s="14" t="str">
        <f t="shared" si="2"/>
        <v/>
      </c>
      <c r="J25" s="15" t="str">
        <f t="shared" si="3"/>
        <v/>
      </c>
    </row>
    <row r="26" spans="1:10" x14ac:dyDescent="0.3">
      <c r="A26" s="8"/>
      <c r="B26" s="9"/>
      <c r="C26" s="9"/>
      <c r="D26" s="10"/>
      <c r="E26" s="10"/>
      <c r="F26" s="11"/>
      <c r="G26" s="12" t="str">
        <f t="shared" si="0"/>
        <v/>
      </c>
      <c r="H26" s="13" t="str">
        <f t="shared" si="1"/>
        <v/>
      </c>
      <c r="I26" s="14" t="str">
        <f t="shared" si="2"/>
        <v/>
      </c>
      <c r="J26" s="15" t="str">
        <f t="shared" si="3"/>
        <v/>
      </c>
    </row>
    <row r="27" spans="1:10" x14ac:dyDescent="0.3">
      <c r="A27" s="8"/>
      <c r="B27" s="9"/>
      <c r="C27" s="9"/>
      <c r="D27" s="10"/>
      <c r="E27" s="10"/>
      <c r="F27" s="11"/>
      <c r="G27" s="12" t="str">
        <f t="shared" si="0"/>
        <v/>
      </c>
      <c r="H27" s="13" t="str">
        <f t="shared" si="1"/>
        <v/>
      </c>
      <c r="I27" s="14" t="str">
        <f t="shared" si="2"/>
        <v/>
      </c>
      <c r="J27" s="15" t="str">
        <f t="shared" si="3"/>
        <v/>
      </c>
    </row>
    <row r="29" spans="1:10" x14ac:dyDescent="0.3">
      <c r="A29" s="26" t="s">
        <v>14</v>
      </c>
      <c r="B29" s="22"/>
      <c r="C29" s="22"/>
      <c r="D29" s="22"/>
      <c r="F29" s="21" t="s">
        <v>15</v>
      </c>
      <c r="G29" s="22"/>
      <c r="H29" s="22"/>
      <c r="I29" s="22"/>
      <c r="J29" s="22"/>
    </row>
    <row r="30" spans="1:10" x14ac:dyDescent="0.3">
      <c r="A30" s="16" t="s">
        <v>16</v>
      </c>
      <c r="D30" s="17">
        <f>SUM(E8:E27)</f>
        <v>156800</v>
      </c>
      <c r="F30" s="16" t="s">
        <v>17</v>
      </c>
      <c r="J30" s="18">
        <f>SUM(J8:J27)</f>
        <v>0</v>
      </c>
    </row>
    <row r="31" spans="1:10" x14ac:dyDescent="0.3">
      <c r="A31" s="16" t="s">
        <v>18</v>
      </c>
      <c r="D31" s="17">
        <f>SUM(H8:H27)</f>
        <v>12000</v>
      </c>
      <c r="F31" s="16" t="s">
        <v>19</v>
      </c>
      <c r="J31" s="19">
        <v>0</v>
      </c>
    </row>
    <row r="32" spans="1:10" x14ac:dyDescent="0.3">
      <c r="F32" s="16" t="s">
        <v>20</v>
      </c>
      <c r="J32" s="19">
        <v>0</v>
      </c>
    </row>
    <row r="33" spans="1:10" x14ac:dyDescent="0.3">
      <c r="F33" s="16" t="s">
        <v>21</v>
      </c>
      <c r="J33" s="19">
        <v>0</v>
      </c>
    </row>
    <row r="34" spans="1:10" x14ac:dyDescent="0.3">
      <c r="F34" s="16" t="s">
        <v>22</v>
      </c>
      <c r="J34" s="19">
        <v>0</v>
      </c>
    </row>
    <row r="35" spans="1:10" x14ac:dyDescent="0.3">
      <c r="F35" s="16" t="s">
        <v>23</v>
      </c>
      <c r="J35" s="19">
        <v>0</v>
      </c>
    </row>
    <row r="36" spans="1:10" x14ac:dyDescent="0.3">
      <c r="F36" s="20" t="s">
        <v>24</v>
      </c>
      <c r="J36" s="19">
        <v>0</v>
      </c>
    </row>
    <row r="37" spans="1:10" x14ac:dyDescent="0.3">
      <c r="F37" s="20" t="s">
        <v>25</v>
      </c>
      <c r="J37" s="19">
        <v>0</v>
      </c>
    </row>
    <row r="40" spans="1:10" ht="21.6" x14ac:dyDescent="0.3">
      <c r="A40" s="24" t="str">
        <f>IF(D40&gt;=0, "最終結算：賣方 應找補 買方", "最終結算：買方 應找補 賣方")</f>
        <v>最終結算：賣方 應找補 買方</v>
      </c>
      <c r="B40" s="22"/>
      <c r="C40" s="22"/>
      <c r="D40" s="23">
        <f>(D30+D31) - (J30 + SUM(J31:J37))</f>
        <v>168800</v>
      </c>
      <c r="E40" s="22"/>
      <c r="F40" s="22"/>
      <c r="G40" s="22"/>
      <c r="H40" s="22"/>
      <c r="I40" s="22"/>
      <c r="J40" s="22"/>
    </row>
  </sheetData>
  <sheetProtection formatCells="0" formatColumns="0"/>
  <mergeCells count="8">
    <mergeCell ref="C3:E3"/>
    <mergeCell ref="A1:H1"/>
    <mergeCell ref="C5:F5"/>
    <mergeCell ref="F29:J29"/>
    <mergeCell ref="D40:J40"/>
    <mergeCell ref="A40:C40"/>
    <mergeCell ref="C4:E4"/>
    <mergeCell ref="A29:D29"/>
  </mergeCells>
  <phoneticPr fontId="10" type="noConversion"/>
  <dataValidations count="1">
    <dataValidation type="list" sqref="B4" xr:uid="{00000000-0002-0000-0000-000000000000}">
      <formula1>"歸買方,歸賣方"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交屋分算(費用明細)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znom</cp:lastModifiedBy>
  <dcterms:created xsi:type="dcterms:W3CDTF">2025-11-28T12:10:31Z</dcterms:created>
  <dcterms:modified xsi:type="dcterms:W3CDTF">2025-11-28T12:14:52Z</dcterms:modified>
</cp:coreProperties>
</file>