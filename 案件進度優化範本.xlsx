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GitHub\TAX-COMPUTE\"/>
    </mc:Choice>
  </mc:AlternateContent>
  <xr:revisionPtr revIDLastSave="0" documentId="13_ncr:1_{93A78A75-B123-4148-A12C-F27C711E2582}" xr6:coauthVersionLast="47" xr6:coauthVersionMax="47" xr10:uidLastSave="{00000000-0000-0000-0000-000000000000}"/>
  <bookViews>
    <workbookView xWindow="21480" yWindow="-120" windowWidth="29040" windowHeight="15720" activeTab="1" xr2:uid="{00000000-000D-0000-FFFF-FFFF00000000}"/>
  </bookViews>
  <sheets>
    <sheet name="Config" sheetId="1" r:id="rId1"/>
    <sheet name="承辦進度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" i="2" l="1"/>
  <c r="H100" i="2"/>
  <c r="G100" i="2"/>
  <c r="I99" i="2"/>
  <c r="H99" i="2"/>
  <c r="G99" i="2"/>
  <c r="I98" i="2"/>
  <c r="H98" i="2"/>
  <c r="G98" i="2"/>
  <c r="I97" i="2"/>
  <c r="H97" i="2"/>
  <c r="G97" i="2"/>
  <c r="I96" i="2"/>
  <c r="H96" i="2"/>
  <c r="G96" i="2"/>
  <c r="I95" i="2"/>
  <c r="H95" i="2"/>
  <c r="G95" i="2"/>
  <c r="I94" i="2"/>
  <c r="H94" i="2"/>
  <c r="G94" i="2"/>
  <c r="I93" i="2"/>
  <c r="H93" i="2"/>
  <c r="G93" i="2"/>
  <c r="I92" i="2"/>
  <c r="H92" i="2"/>
  <c r="G92" i="2"/>
  <c r="I91" i="2"/>
  <c r="H91" i="2"/>
  <c r="G91" i="2"/>
  <c r="I90" i="2"/>
  <c r="H90" i="2"/>
  <c r="G90" i="2"/>
  <c r="I89" i="2"/>
  <c r="H89" i="2"/>
  <c r="G89" i="2"/>
  <c r="I88" i="2"/>
  <c r="H88" i="2"/>
  <c r="G88" i="2"/>
  <c r="I87" i="2"/>
  <c r="H87" i="2"/>
  <c r="G87" i="2"/>
  <c r="I86" i="2"/>
  <c r="H86" i="2"/>
  <c r="G86" i="2"/>
  <c r="I85" i="2"/>
  <c r="H85" i="2"/>
  <c r="G85" i="2"/>
  <c r="I84" i="2"/>
  <c r="H84" i="2"/>
  <c r="G84" i="2"/>
  <c r="I83" i="2"/>
  <c r="H83" i="2"/>
  <c r="G83" i="2"/>
  <c r="I82" i="2"/>
  <c r="H82" i="2"/>
  <c r="G82" i="2"/>
  <c r="I81" i="2"/>
  <c r="H81" i="2"/>
  <c r="G81" i="2"/>
  <c r="I80" i="2"/>
  <c r="H80" i="2"/>
  <c r="G80" i="2"/>
  <c r="I79" i="2"/>
  <c r="H79" i="2"/>
  <c r="G79" i="2"/>
  <c r="I78" i="2"/>
  <c r="H78" i="2"/>
  <c r="G78" i="2"/>
  <c r="I77" i="2"/>
  <c r="H77" i="2"/>
  <c r="G77" i="2"/>
  <c r="I76" i="2"/>
  <c r="H76" i="2"/>
  <c r="G76" i="2"/>
  <c r="I75" i="2"/>
  <c r="H75" i="2"/>
  <c r="G75" i="2"/>
  <c r="I74" i="2"/>
  <c r="H74" i="2"/>
  <c r="G74" i="2"/>
  <c r="I73" i="2"/>
  <c r="H73" i="2"/>
  <c r="G73" i="2"/>
  <c r="I72" i="2"/>
  <c r="H72" i="2"/>
  <c r="G72" i="2"/>
  <c r="I71" i="2"/>
  <c r="H71" i="2"/>
  <c r="G71" i="2"/>
  <c r="I70" i="2"/>
  <c r="H70" i="2"/>
  <c r="G70" i="2"/>
  <c r="I69" i="2"/>
  <c r="H69" i="2"/>
  <c r="G69" i="2"/>
  <c r="I68" i="2"/>
  <c r="H68" i="2"/>
  <c r="G68" i="2"/>
  <c r="I67" i="2"/>
  <c r="H67" i="2"/>
  <c r="G67" i="2"/>
  <c r="I66" i="2"/>
  <c r="H66" i="2"/>
  <c r="G66" i="2"/>
  <c r="I65" i="2"/>
  <c r="H65" i="2"/>
  <c r="G65" i="2"/>
  <c r="I64" i="2"/>
  <c r="H64" i="2"/>
  <c r="G64" i="2"/>
  <c r="I63" i="2"/>
  <c r="H63" i="2"/>
  <c r="G63" i="2"/>
  <c r="I62" i="2"/>
  <c r="H62" i="2"/>
  <c r="G62" i="2"/>
  <c r="I61" i="2"/>
  <c r="H61" i="2"/>
  <c r="G61" i="2"/>
  <c r="I60" i="2"/>
  <c r="H60" i="2"/>
  <c r="G60" i="2"/>
  <c r="I59" i="2"/>
  <c r="H59" i="2"/>
  <c r="G59" i="2"/>
  <c r="I58" i="2"/>
  <c r="H58" i="2"/>
  <c r="G58" i="2"/>
  <c r="I57" i="2"/>
  <c r="H57" i="2"/>
  <c r="G57" i="2"/>
  <c r="I56" i="2"/>
  <c r="H56" i="2"/>
  <c r="G56" i="2"/>
  <c r="I55" i="2"/>
  <c r="H55" i="2"/>
  <c r="G55" i="2"/>
  <c r="I54" i="2"/>
  <c r="H54" i="2"/>
  <c r="G54" i="2"/>
  <c r="I53" i="2"/>
  <c r="H53" i="2"/>
  <c r="G53" i="2"/>
  <c r="I52" i="2"/>
  <c r="H52" i="2"/>
  <c r="G52" i="2"/>
  <c r="I51" i="2"/>
  <c r="H51" i="2"/>
  <c r="G51" i="2"/>
  <c r="I50" i="2"/>
  <c r="H50" i="2"/>
  <c r="G50" i="2"/>
  <c r="I49" i="2"/>
  <c r="H49" i="2"/>
  <c r="G49" i="2"/>
  <c r="I48" i="2"/>
  <c r="H48" i="2"/>
  <c r="G48" i="2"/>
  <c r="I47" i="2"/>
  <c r="H47" i="2"/>
  <c r="G47" i="2"/>
  <c r="I46" i="2"/>
  <c r="H46" i="2"/>
  <c r="G46" i="2"/>
  <c r="I45" i="2"/>
  <c r="H45" i="2"/>
  <c r="G45" i="2"/>
  <c r="I44" i="2"/>
  <c r="H44" i="2"/>
  <c r="G44" i="2"/>
  <c r="I43" i="2"/>
  <c r="H43" i="2"/>
  <c r="G43" i="2"/>
  <c r="I42" i="2"/>
  <c r="H42" i="2"/>
  <c r="G42" i="2"/>
  <c r="I41" i="2"/>
  <c r="H41" i="2"/>
  <c r="G41" i="2"/>
  <c r="I40" i="2"/>
  <c r="H40" i="2"/>
  <c r="G40" i="2"/>
  <c r="I39" i="2"/>
  <c r="H39" i="2"/>
  <c r="G39" i="2"/>
  <c r="I38" i="2"/>
  <c r="H38" i="2"/>
  <c r="G38" i="2"/>
  <c r="I37" i="2"/>
  <c r="H37" i="2"/>
  <c r="G37" i="2"/>
  <c r="I36" i="2"/>
  <c r="H36" i="2"/>
  <c r="G36" i="2"/>
  <c r="I35" i="2"/>
  <c r="H35" i="2"/>
  <c r="G35" i="2"/>
  <c r="I34" i="2"/>
  <c r="H34" i="2"/>
  <c r="G34" i="2"/>
  <c r="I33" i="2"/>
  <c r="H33" i="2"/>
  <c r="G33" i="2"/>
  <c r="I32" i="2"/>
  <c r="H32" i="2"/>
  <c r="G32" i="2"/>
  <c r="I31" i="2"/>
  <c r="H31" i="2"/>
  <c r="G31" i="2"/>
  <c r="I30" i="2"/>
  <c r="H30" i="2"/>
  <c r="G30" i="2"/>
  <c r="I29" i="2"/>
  <c r="H29" i="2"/>
  <c r="G29" i="2"/>
  <c r="I28" i="2"/>
  <c r="H28" i="2"/>
  <c r="G28" i="2"/>
  <c r="I27" i="2"/>
  <c r="H27" i="2"/>
  <c r="G27" i="2"/>
  <c r="I26" i="2"/>
  <c r="H26" i="2"/>
  <c r="G26" i="2"/>
  <c r="I25" i="2"/>
  <c r="H25" i="2"/>
  <c r="G25" i="2"/>
  <c r="I24" i="2"/>
  <c r="H24" i="2"/>
  <c r="G24" i="2"/>
  <c r="I23" i="2"/>
  <c r="H23" i="2"/>
  <c r="G23" i="2"/>
  <c r="I22" i="2"/>
  <c r="H22" i="2"/>
  <c r="G22" i="2"/>
  <c r="I21" i="2"/>
  <c r="H21" i="2"/>
  <c r="G21" i="2"/>
  <c r="I20" i="2"/>
  <c r="H20" i="2"/>
  <c r="G20" i="2"/>
  <c r="I19" i="2"/>
  <c r="H19" i="2"/>
  <c r="G19" i="2"/>
  <c r="I18" i="2"/>
  <c r="H18" i="2"/>
  <c r="G18" i="2"/>
  <c r="I17" i="2"/>
  <c r="H17" i="2"/>
  <c r="G17" i="2"/>
  <c r="I16" i="2"/>
  <c r="H16" i="2"/>
  <c r="G16" i="2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I6" i="2"/>
  <c r="H6" i="2"/>
  <c r="G6" i="2"/>
  <c r="I5" i="2"/>
  <c r="H5" i="2"/>
  <c r="G5" i="2"/>
  <c r="I4" i="2"/>
  <c r="H4" i="2"/>
  <c r="G4" i="2"/>
  <c r="I3" i="2"/>
  <c r="H3" i="2"/>
  <c r="G3" i="2"/>
</calcChain>
</file>

<file path=xl/sharedStrings.xml><?xml version="1.0" encoding="utf-8"?>
<sst xmlns="http://schemas.openxmlformats.org/spreadsheetml/2006/main" count="84" uniqueCount="75">
  <si>
    <t>銀行名稱</t>
  </si>
  <si>
    <t>分行/窗口</t>
  </si>
  <si>
    <t>聯絡人</t>
  </si>
  <si>
    <t>電話</t>
  </si>
  <si>
    <t>Email</t>
  </si>
  <si>
    <t>富邦</t>
  </si>
  <si>
    <t>台新</t>
  </si>
  <si>
    <t>土銀</t>
  </si>
  <si>
    <t>國泰</t>
  </si>
  <si>
    <t>兆豐</t>
  </si>
  <si>
    <t>北投</t>
  </si>
  <si>
    <t>世貿</t>
  </si>
  <si>
    <t>營業部</t>
  </si>
  <si>
    <t>維席</t>
  </si>
  <si>
    <t>民權</t>
  </si>
  <si>
    <t>館前</t>
  </si>
  <si>
    <t>內科</t>
  </si>
  <si>
    <t>雙和</t>
  </si>
  <si>
    <t>陳先生</t>
  </si>
  <si>
    <t>王小姐</t>
  </si>
  <si>
    <t>黃小姐</t>
  </si>
  <si>
    <t>張先生</t>
  </si>
  <si>
    <t>李小姐</t>
  </si>
  <si>
    <t>陶融</t>
  </si>
  <si>
    <t>林小姐</t>
  </si>
  <si>
    <t>0912-345-678</t>
  </si>
  <si>
    <t>02-2720-xxxx</t>
  </si>
  <si>
    <t>0925-286-705</t>
  </si>
  <si>
    <t>02-2389-xxxx</t>
  </si>
  <si>
    <t>2562-9801*208</t>
  </si>
  <si>
    <t>2311-0609</t>
  </si>
  <si>
    <t>02-8751-xxxx</t>
  </si>
  <si>
    <t>02-2248-xxxx</t>
  </si>
  <si>
    <t>jerry@fubon.com</t>
  </si>
  <si>
    <t>wang@fubon.com</t>
  </si>
  <si>
    <t>christy@dbs.com</t>
  </si>
  <si>
    <t>jeff@taishin.com</t>
  </si>
  <si>
    <t>105959@landbank.com</t>
  </si>
  <si>
    <t>cathay@mail.com</t>
  </si>
  <si>
    <t>010134@megabank.com</t>
  </si>
  <si>
    <t>009881@megabank.com</t>
  </si>
  <si>
    <t>案件狀態清單</t>
  </si>
  <si>
    <t>簽約</t>
  </si>
  <si>
    <t>用印</t>
  </si>
  <si>
    <t>完稅</t>
  </si>
  <si>
    <t>過戶</t>
  </si>
  <si>
    <t>交屋</t>
  </si>
  <si>
    <t>結案</t>
  </si>
  <si>
    <t>卡關(訴訟)</t>
  </si>
  <si>
    <t>卡關(銀行)</t>
  </si>
  <si>
    <t>案件類型清單</t>
  </si>
  <si>
    <t>一般買賣</t>
  </si>
  <si>
    <t>房地合一</t>
  </si>
  <si>
    <t>繼承</t>
  </si>
  <si>
    <t>贈與</t>
  </si>
  <si>
    <t>二胎代償</t>
  </si>
  <si>
    <t>案件編號</t>
  </si>
  <si>
    <t>買方</t>
  </si>
  <si>
    <t>賣方</t>
  </si>
  <si>
    <t>案件類型</t>
  </si>
  <si>
    <t>目前狀態</t>
  </si>
  <si>
    <t>分行</t>
  </si>
  <si>
    <t>電話/Email</t>
  </si>
  <si>
    <t>簽約日</t>
  </si>
  <si>
    <t>預計完稅</t>
  </si>
  <si>
    <t>實際完稅</t>
  </si>
  <si>
    <t>預計過戶</t>
  </si>
  <si>
    <t>實際過戶</t>
  </si>
  <si>
    <t>預計交屋</t>
  </si>
  <si>
    <t>實際交屋</t>
  </si>
  <si>
    <t>備註/待辦事項</t>
  </si>
  <si>
    <t>AA1148099</t>
  </si>
  <si>
    <t>柯遠東</t>
  </si>
  <si>
    <t>趙志龍</t>
  </si>
  <si>
    <t>稅單好了，待塗銷二胎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</si>
</sst>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/dd"/>
  </numFmts>
  <fonts count="5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b/>
      <sz val="11"/>
      <color rgb="FFFFFFFF"/>
      <name val="新細明體"/>
      <family val="2"/>
      <scheme val="minor"/>
    </font>
    <font>
      <b/>
      <sz val="9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center" textRotation="90"/>
    </xf>
    <xf numFmtId="0" fontId="0" fillId="0" borderId="0" xfId="0" applyAlignment="1">
      <alignment vertical="top" wrapText="1"/>
    </xf>
    <xf numFmtId="176" fontId="0" fillId="0" borderId="0" xfId="0" applyNumberFormat="1" applyAlignment="1">
      <alignment horizontal="center"/>
    </xf>
  </cellXfs>
  <cellStyles count="1">
    <cellStyle name="一般" xfId="0" builtinId="0"/>
  </cellStyles>
  <dxfs count="5">
    <dxf>
      <fill>
        <patternFill>
          <bgColor rgb="FF95B3D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41</v>
      </c>
      <c r="H1" s="2" t="s">
        <v>50</v>
      </c>
    </row>
    <row r="2" spans="1:8" x14ac:dyDescent="0.3">
      <c r="A2" t="s">
        <v>5</v>
      </c>
      <c r="B2" t="s">
        <v>10</v>
      </c>
      <c r="C2" t="s">
        <v>18</v>
      </c>
      <c r="D2" t="s">
        <v>25</v>
      </c>
      <c r="E2" t="s">
        <v>33</v>
      </c>
      <c r="G2" t="s">
        <v>42</v>
      </c>
      <c r="H2" t="s">
        <v>51</v>
      </c>
    </row>
    <row r="3" spans="1:8" x14ac:dyDescent="0.3">
      <c r="A3" t="s">
        <v>5</v>
      </c>
      <c r="B3" t="s">
        <v>11</v>
      </c>
      <c r="C3" t="s">
        <v>19</v>
      </c>
      <c r="D3" t="s">
        <v>26</v>
      </c>
      <c r="E3" t="s">
        <v>34</v>
      </c>
      <c r="G3" t="s">
        <v>43</v>
      </c>
      <c r="H3" t="s">
        <v>52</v>
      </c>
    </row>
    <row r="4" spans="1:8" x14ac:dyDescent="0.3">
      <c r="A4" t="s">
        <v>6</v>
      </c>
      <c r="B4" t="s">
        <v>12</v>
      </c>
      <c r="C4" t="s">
        <v>20</v>
      </c>
      <c r="D4" t="s">
        <v>27</v>
      </c>
      <c r="E4" t="s">
        <v>35</v>
      </c>
      <c r="G4" t="s">
        <v>44</v>
      </c>
      <c r="H4" t="s">
        <v>53</v>
      </c>
    </row>
    <row r="5" spans="1:8" x14ac:dyDescent="0.3">
      <c r="A5" t="s">
        <v>6</v>
      </c>
      <c r="B5" t="s">
        <v>13</v>
      </c>
      <c r="C5" t="s">
        <v>21</v>
      </c>
      <c r="D5" t="s">
        <v>28</v>
      </c>
      <c r="E5" t="s">
        <v>36</v>
      </c>
      <c r="G5" t="s">
        <v>45</v>
      </c>
      <c r="H5" t="s">
        <v>54</v>
      </c>
    </row>
    <row r="6" spans="1:8" x14ac:dyDescent="0.3">
      <c r="A6" t="s">
        <v>7</v>
      </c>
      <c r="B6" t="s">
        <v>14</v>
      </c>
      <c r="C6" t="s">
        <v>22</v>
      </c>
      <c r="D6" t="s">
        <v>29</v>
      </c>
      <c r="E6" t="s">
        <v>37</v>
      </c>
      <c r="G6" t="s">
        <v>46</v>
      </c>
      <c r="H6" t="s">
        <v>55</v>
      </c>
    </row>
    <row r="7" spans="1:8" x14ac:dyDescent="0.3">
      <c r="A7" t="s">
        <v>8</v>
      </c>
      <c r="B7" t="s">
        <v>15</v>
      </c>
      <c r="C7" t="s">
        <v>20</v>
      </c>
      <c r="D7" t="s">
        <v>30</v>
      </c>
      <c r="E7" t="s">
        <v>38</v>
      </c>
      <c r="G7" t="s">
        <v>47</v>
      </c>
    </row>
    <row r="8" spans="1:8" x14ac:dyDescent="0.3">
      <c r="A8" t="s">
        <v>9</v>
      </c>
      <c r="B8" t="s">
        <v>16</v>
      </c>
      <c r="C8" t="s">
        <v>23</v>
      </c>
      <c r="D8" t="s">
        <v>31</v>
      </c>
      <c r="E8" t="s">
        <v>39</v>
      </c>
      <c r="G8" t="s">
        <v>48</v>
      </c>
    </row>
    <row r="9" spans="1:8" x14ac:dyDescent="0.3">
      <c r="A9" t="s">
        <v>9</v>
      </c>
      <c r="B9" t="s">
        <v>17</v>
      </c>
      <c r="C9" t="s">
        <v>24</v>
      </c>
      <c r="D9" t="s">
        <v>32</v>
      </c>
      <c r="E9" t="s">
        <v>40</v>
      </c>
      <c r="G9" t="s">
        <v>49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00"/>
  <sheetViews>
    <sheetView tabSelected="1" workbookViewId="0">
      <pane xSplit="3" ySplit="2" topLeftCell="H3" activePane="bottomRight" state="frozen"/>
      <selection pane="topRight" activeCell="D1" sqref="D1"/>
      <selection pane="bottomLeft" activeCell="A3" sqref="A3"/>
      <selection pane="bottomRight" activeCell="R1" sqref="R1:R1048576"/>
    </sheetView>
  </sheetViews>
  <sheetFormatPr defaultRowHeight="15" x14ac:dyDescent="0.3"/>
  <cols>
    <col min="1" max="1" width="10.75" customWidth="1"/>
    <col min="2" max="3" width="12.75" customWidth="1"/>
    <col min="4" max="4" width="12.625" customWidth="1"/>
    <col min="6" max="6" width="10.75" customWidth="1"/>
    <col min="9" max="9" width="25.75" customWidth="1"/>
    <col min="10" max="16" width="10.75" customWidth="1"/>
    <col min="17" max="17" width="30.75" customWidth="1"/>
    <col min="18" max="47" width="3.75" customWidth="1"/>
  </cols>
  <sheetData>
    <row r="1" spans="1:47" ht="25.2" x14ac:dyDescent="0.3">
      <c r="R1" s="3">
        <v>45952</v>
      </c>
      <c r="S1" s="3">
        <v>45959</v>
      </c>
      <c r="T1" s="3">
        <v>45966</v>
      </c>
      <c r="U1" s="3">
        <v>45973</v>
      </c>
      <c r="V1" s="3">
        <v>45980</v>
      </c>
      <c r="W1" s="3">
        <v>45987</v>
      </c>
      <c r="X1" s="3">
        <v>45994</v>
      </c>
      <c r="Y1" s="3">
        <v>46001</v>
      </c>
      <c r="Z1" s="3">
        <v>46008</v>
      </c>
      <c r="AA1" s="3">
        <v>46015</v>
      </c>
      <c r="AB1" s="3">
        <v>46022</v>
      </c>
      <c r="AC1" s="3">
        <v>46029</v>
      </c>
      <c r="AD1" s="3">
        <v>46036</v>
      </c>
      <c r="AE1" s="3">
        <v>46043</v>
      </c>
      <c r="AF1" s="3">
        <v>46050</v>
      </c>
      <c r="AG1" s="3">
        <v>46057</v>
      </c>
      <c r="AH1" s="3">
        <v>46064</v>
      </c>
      <c r="AI1" s="3">
        <v>46071</v>
      </c>
      <c r="AJ1" s="3">
        <v>46078</v>
      </c>
      <c r="AK1" s="3">
        <v>46085</v>
      </c>
      <c r="AL1" s="3">
        <v>46092</v>
      </c>
      <c r="AM1" s="3">
        <v>46099</v>
      </c>
      <c r="AN1" s="3">
        <v>46106</v>
      </c>
      <c r="AO1" s="3">
        <v>46113</v>
      </c>
      <c r="AP1" s="3">
        <v>46120</v>
      </c>
      <c r="AQ1" s="3">
        <v>46127</v>
      </c>
      <c r="AR1" s="3">
        <v>46134</v>
      </c>
      <c r="AS1" s="3">
        <v>46141</v>
      </c>
      <c r="AT1" s="3">
        <v>46148</v>
      </c>
      <c r="AU1" s="3">
        <v>46155</v>
      </c>
    </row>
    <row r="2" spans="1:47" x14ac:dyDescent="0.3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0</v>
      </c>
      <c r="G2" s="2" t="s">
        <v>61</v>
      </c>
      <c r="H2" s="2" t="s">
        <v>2</v>
      </c>
      <c r="I2" s="2" t="s">
        <v>62</v>
      </c>
      <c r="J2" s="2" t="s">
        <v>63</v>
      </c>
      <c r="K2" s="2" t="s">
        <v>64</v>
      </c>
      <c r="L2" s="2" t="s">
        <v>65</v>
      </c>
      <c r="M2" s="2" t="s">
        <v>66</v>
      </c>
      <c r="N2" s="2" t="s">
        <v>67</v>
      </c>
      <c r="O2" s="2" t="s">
        <v>68</v>
      </c>
      <c r="P2" s="2" t="s">
        <v>69</v>
      </c>
      <c r="Q2" s="2" t="s">
        <v>70</v>
      </c>
    </row>
    <row r="3" spans="1:47" x14ac:dyDescent="0.3">
      <c r="A3" t="s">
        <v>71</v>
      </c>
      <c r="B3" t="s">
        <v>72</v>
      </c>
      <c r="C3" t="s">
        <v>73</v>
      </c>
      <c r="D3" t="s">
        <v>55</v>
      </c>
      <c r="E3" t="s">
        <v>42</v>
      </c>
      <c r="F3" t="s">
        <v>5</v>
      </c>
      <c r="G3" t="str">
        <f>IFERROR(VLOOKUP(F3,Config!$A:$E,2,0),"")</f>
        <v>北投</v>
      </c>
      <c r="H3" t="str">
        <f>IFERROR(VLOOKUP(F3,Config!$A:$E,3,0),"")</f>
        <v>陳先生</v>
      </c>
      <c r="I3" s="4" t="str">
        <f>IFERROR(VLOOKUP(F3,Config!$A:$E,4,0)&amp;CHAR(10)&amp;VLOOKUP(F3,Config!$A:$E,5,0),"")</f>
        <v>0912-345-678
jerry@fubon.com</v>
      </c>
      <c r="J3" s="5">
        <v>45857</v>
      </c>
      <c r="K3" s="5">
        <v>45909</v>
      </c>
      <c r="M3" s="5">
        <v>45920</v>
      </c>
      <c r="O3" s="5">
        <v>45925</v>
      </c>
      <c r="Q3" t="s">
        <v>74</v>
      </c>
    </row>
    <row r="4" spans="1:47" x14ac:dyDescent="0.3">
      <c r="G4" t="str">
        <f>IFERROR(VLOOKUP(F4,Config!$A:$E,2,0),"")</f>
        <v/>
      </c>
      <c r="H4" t="str">
        <f>IFERROR(VLOOKUP(F4,Config!$A:$E,3,0),"")</f>
        <v/>
      </c>
      <c r="I4" s="4" t="str">
        <f>IFERROR(VLOOKUP(F4,Config!$A:$E,4,0)&amp;CHAR(10)&amp;VLOOKUP(F4,Config!$A:$E,5,0),"")</f>
        <v/>
      </c>
    </row>
    <row r="5" spans="1:47" x14ac:dyDescent="0.3">
      <c r="G5" t="str">
        <f>IFERROR(VLOOKUP(F5,Config!$A:$E,2,0),"")</f>
        <v/>
      </c>
      <c r="H5" t="str">
        <f>IFERROR(VLOOKUP(F5,Config!$A:$E,3,0),"")</f>
        <v/>
      </c>
      <c r="I5" s="4" t="str">
        <f>IFERROR(VLOOKUP(F5,Config!$A:$E,4,0)&amp;CHAR(10)&amp;VLOOKUP(F5,Config!$A:$E,5,0),"")</f>
        <v/>
      </c>
    </row>
    <row r="6" spans="1:47" x14ac:dyDescent="0.3">
      <c r="G6" t="str">
        <f>IFERROR(VLOOKUP(F6,Config!$A:$E,2,0),"")</f>
        <v/>
      </c>
      <c r="H6" t="str">
        <f>IFERROR(VLOOKUP(F6,Config!$A:$E,3,0),"")</f>
        <v/>
      </c>
      <c r="I6" s="4" t="str">
        <f>IFERROR(VLOOKUP(F6,Config!$A:$E,4,0)&amp;CHAR(10)&amp;VLOOKUP(F6,Config!$A:$E,5,0),"")</f>
        <v/>
      </c>
    </row>
    <row r="7" spans="1:47" x14ac:dyDescent="0.3">
      <c r="G7" t="str">
        <f>IFERROR(VLOOKUP(F7,Config!$A:$E,2,0),"")</f>
        <v/>
      </c>
      <c r="H7" t="str">
        <f>IFERROR(VLOOKUP(F7,Config!$A:$E,3,0),"")</f>
        <v/>
      </c>
      <c r="I7" s="4" t="str">
        <f>IFERROR(VLOOKUP(F7,Config!$A:$E,4,0)&amp;CHAR(10)&amp;VLOOKUP(F7,Config!$A:$E,5,0),"")</f>
        <v/>
      </c>
    </row>
    <row r="8" spans="1:47" x14ac:dyDescent="0.3">
      <c r="G8" t="str">
        <f>IFERROR(VLOOKUP(F8,Config!$A:$E,2,0),"")</f>
        <v/>
      </c>
      <c r="H8" t="str">
        <f>IFERROR(VLOOKUP(F8,Config!$A:$E,3,0),"")</f>
        <v/>
      </c>
      <c r="I8" s="4" t="str">
        <f>IFERROR(VLOOKUP(F8,Config!$A:$E,4,0)&amp;CHAR(10)&amp;VLOOKUP(F8,Config!$A:$E,5,0),"")</f>
        <v/>
      </c>
    </row>
    <row r="9" spans="1:47" x14ac:dyDescent="0.3">
      <c r="G9" t="str">
        <f>IFERROR(VLOOKUP(F9,Config!$A:$E,2,0),"")</f>
        <v/>
      </c>
      <c r="H9" t="str">
        <f>IFERROR(VLOOKUP(F9,Config!$A:$E,3,0),"")</f>
        <v/>
      </c>
      <c r="I9" s="4" t="str">
        <f>IFERROR(VLOOKUP(F9,Config!$A:$E,4,0)&amp;CHAR(10)&amp;VLOOKUP(F9,Config!$A:$E,5,0),"")</f>
        <v/>
      </c>
    </row>
    <row r="10" spans="1:47" x14ac:dyDescent="0.3">
      <c r="G10" t="str">
        <f>IFERROR(VLOOKUP(F10,Config!$A:$E,2,0),"")</f>
        <v/>
      </c>
      <c r="H10" t="str">
        <f>IFERROR(VLOOKUP(F10,Config!$A:$E,3,0),"")</f>
        <v/>
      </c>
      <c r="I10" s="4" t="str">
        <f>IFERROR(VLOOKUP(F10,Config!$A:$E,4,0)&amp;CHAR(10)&amp;VLOOKUP(F10,Config!$A:$E,5,0),"")</f>
        <v/>
      </c>
    </row>
    <row r="11" spans="1:47" x14ac:dyDescent="0.3">
      <c r="G11" t="str">
        <f>IFERROR(VLOOKUP(F11,Config!$A:$E,2,0),"")</f>
        <v/>
      </c>
      <c r="H11" t="str">
        <f>IFERROR(VLOOKUP(F11,Config!$A:$E,3,0),"")</f>
        <v/>
      </c>
      <c r="I11" s="4" t="str">
        <f>IFERROR(VLOOKUP(F11,Config!$A:$E,4,0)&amp;CHAR(10)&amp;VLOOKUP(F11,Config!$A:$E,5,0),"")</f>
        <v/>
      </c>
    </row>
    <row r="12" spans="1:47" x14ac:dyDescent="0.3">
      <c r="G12" t="str">
        <f>IFERROR(VLOOKUP(F12,Config!$A:$E,2,0),"")</f>
        <v/>
      </c>
      <c r="H12" t="str">
        <f>IFERROR(VLOOKUP(F12,Config!$A:$E,3,0),"")</f>
        <v/>
      </c>
      <c r="I12" s="4" t="str">
        <f>IFERROR(VLOOKUP(F12,Config!$A:$E,4,0)&amp;CHAR(10)&amp;VLOOKUP(F12,Config!$A:$E,5,0),"")</f>
        <v/>
      </c>
    </row>
    <row r="13" spans="1:47" x14ac:dyDescent="0.3">
      <c r="G13" t="str">
        <f>IFERROR(VLOOKUP(F13,Config!$A:$E,2,0),"")</f>
        <v/>
      </c>
      <c r="H13" t="str">
        <f>IFERROR(VLOOKUP(F13,Config!$A:$E,3,0),"")</f>
        <v/>
      </c>
      <c r="I13" s="4" t="str">
        <f>IFERROR(VLOOKUP(F13,Config!$A:$E,4,0)&amp;CHAR(10)&amp;VLOOKUP(F13,Config!$A:$E,5,0),"")</f>
        <v/>
      </c>
    </row>
    <row r="14" spans="1:47" x14ac:dyDescent="0.3">
      <c r="G14" t="str">
        <f>IFERROR(VLOOKUP(F14,Config!$A:$E,2,0),"")</f>
        <v/>
      </c>
      <c r="H14" t="str">
        <f>IFERROR(VLOOKUP(F14,Config!$A:$E,3,0),"")</f>
        <v/>
      </c>
      <c r="I14" s="4" t="str">
        <f>IFERROR(VLOOKUP(F14,Config!$A:$E,4,0)&amp;CHAR(10)&amp;VLOOKUP(F14,Config!$A:$E,5,0),"")</f>
        <v/>
      </c>
    </row>
    <row r="15" spans="1:47" x14ac:dyDescent="0.3">
      <c r="G15" t="str">
        <f>IFERROR(VLOOKUP(F15,Config!$A:$E,2,0),"")</f>
        <v/>
      </c>
      <c r="H15" t="str">
        <f>IFERROR(VLOOKUP(F15,Config!$A:$E,3,0),"")</f>
        <v/>
      </c>
      <c r="I15" s="4" t="str">
        <f>IFERROR(VLOOKUP(F15,Config!$A:$E,4,0)&amp;CHAR(10)&amp;VLOOKUP(F15,Config!$A:$E,5,0),"")</f>
        <v/>
      </c>
    </row>
    <row r="16" spans="1:47" x14ac:dyDescent="0.3">
      <c r="G16" t="str">
        <f>IFERROR(VLOOKUP(F16,Config!$A:$E,2,0),"")</f>
        <v/>
      </c>
      <c r="H16" t="str">
        <f>IFERROR(VLOOKUP(F16,Config!$A:$E,3,0),"")</f>
        <v/>
      </c>
      <c r="I16" s="4" t="str">
        <f>IFERROR(VLOOKUP(F16,Config!$A:$E,4,0)&amp;CHAR(10)&amp;VLOOKUP(F16,Config!$A:$E,5,0),"")</f>
        <v/>
      </c>
    </row>
    <row r="17" spans="7:9" x14ac:dyDescent="0.3">
      <c r="G17" t="str">
        <f>IFERROR(VLOOKUP(F17,Config!$A:$E,2,0),"")</f>
        <v/>
      </c>
      <c r="H17" t="str">
        <f>IFERROR(VLOOKUP(F17,Config!$A:$E,3,0),"")</f>
        <v/>
      </c>
      <c r="I17" s="4" t="str">
        <f>IFERROR(VLOOKUP(F17,Config!$A:$E,4,0)&amp;CHAR(10)&amp;VLOOKUP(F17,Config!$A:$E,5,0),"")</f>
        <v/>
      </c>
    </row>
    <row r="18" spans="7:9" x14ac:dyDescent="0.3">
      <c r="G18" t="str">
        <f>IFERROR(VLOOKUP(F18,Config!$A:$E,2,0),"")</f>
        <v/>
      </c>
      <c r="H18" t="str">
        <f>IFERROR(VLOOKUP(F18,Config!$A:$E,3,0),"")</f>
        <v/>
      </c>
      <c r="I18" s="4" t="str">
        <f>IFERROR(VLOOKUP(F18,Config!$A:$E,4,0)&amp;CHAR(10)&amp;VLOOKUP(F18,Config!$A:$E,5,0),"")</f>
        <v/>
      </c>
    </row>
    <row r="19" spans="7:9" x14ac:dyDescent="0.3">
      <c r="G19" t="str">
        <f>IFERROR(VLOOKUP(F19,Config!$A:$E,2,0),"")</f>
        <v/>
      </c>
      <c r="H19" t="str">
        <f>IFERROR(VLOOKUP(F19,Config!$A:$E,3,0),"")</f>
        <v/>
      </c>
      <c r="I19" s="4" t="str">
        <f>IFERROR(VLOOKUP(F19,Config!$A:$E,4,0)&amp;CHAR(10)&amp;VLOOKUP(F19,Config!$A:$E,5,0),"")</f>
        <v/>
      </c>
    </row>
    <row r="20" spans="7:9" x14ac:dyDescent="0.3">
      <c r="G20" t="str">
        <f>IFERROR(VLOOKUP(F20,Config!$A:$E,2,0),"")</f>
        <v/>
      </c>
      <c r="H20" t="str">
        <f>IFERROR(VLOOKUP(F20,Config!$A:$E,3,0),"")</f>
        <v/>
      </c>
      <c r="I20" s="4" t="str">
        <f>IFERROR(VLOOKUP(F20,Config!$A:$E,4,0)&amp;CHAR(10)&amp;VLOOKUP(F20,Config!$A:$E,5,0),"")</f>
        <v/>
      </c>
    </row>
    <row r="21" spans="7:9" x14ac:dyDescent="0.3">
      <c r="G21" t="str">
        <f>IFERROR(VLOOKUP(F21,Config!$A:$E,2,0),"")</f>
        <v/>
      </c>
      <c r="H21" t="str">
        <f>IFERROR(VLOOKUP(F21,Config!$A:$E,3,0),"")</f>
        <v/>
      </c>
      <c r="I21" s="4" t="str">
        <f>IFERROR(VLOOKUP(F21,Config!$A:$E,4,0)&amp;CHAR(10)&amp;VLOOKUP(F21,Config!$A:$E,5,0),"")</f>
        <v/>
      </c>
    </row>
    <row r="22" spans="7:9" x14ac:dyDescent="0.3">
      <c r="G22" t="str">
        <f>IFERROR(VLOOKUP(F22,Config!$A:$E,2,0),"")</f>
        <v/>
      </c>
      <c r="H22" t="str">
        <f>IFERROR(VLOOKUP(F22,Config!$A:$E,3,0),"")</f>
        <v/>
      </c>
      <c r="I22" s="4" t="str">
        <f>IFERROR(VLOOKUP(F22,Config!$A:$E,4,0)&amp;CHAR(10)&amp;VLOOKUP(F22,Config!$A:$E,5,0),"")</f>
        <v/>
      </c>
    </row>
    <row r="23" spans="7:9" x14ac:dyDescent="0.3">
      <c r="G23" t="str">
        <f>IFERROR(VLOOKUP(F23,Config!$A:$E,2,0),"")</f>
        <v/>
      </c>
      <c r="H23" t="str">
        <f>IFERROR(VLOOKUP(F23,Config!$A:$E,3,0),"")</f>
        <v/>
      </c>
      <c r="I23" s="4" t="str">
        <f>IFERROR(VLOOKUP(F23,Config!$A:$E,4,0)&amp;CHAR(10)&amp;VLOOKUP(F23,Config!$A:$E,5,0),"")</f>
        <v/>
      </c>
    </row>
    <row r="24" spans="7:9" x14ac:dyDescent="0.3">
      <c r="G24" t="str">
        <f>IFERROR(VLOOKUP(F24,Config!$A:$E,2,0),"")</f>
        <v/>
      </c>
      <c r="H24" t="str">
        <f>IFERROR(VLOOKUP(F24,Config!$A:$E,3,0),"")</f>
        <v/>
      </c>
      <c r="I24" s="4" t="str">
        <f>IFERROR(VLOOKUP(F24,Config!$A:$E,4,0)&amp;CHAR(10)&amp;VLOOKUP(F24,Config!$A:$E,5,0),"")</f>
        <v/>
      </c>
    </row>
    <row r="25" spans="7:9" x14ac:dyDescent="0.3">
      <c r="G25" t="str">
        <f>IFERROR(VLOOKUP(F25,Config!$A:$E,2,0),"")</f>
        <v/>
      </c>
      <c r="H25" t="str">
        <f>IFERROR(VLOOKUP(F25,Config!$A:$E,3,0),"")</f>
        <v/>
      </c>
      <c r="I25" s="4" t="str">
        <f>IFERROR(VLOOKUP(F25,Config!$A:$E,4,0)&amp;CHAR(10)&amp;VLOOKUP(F25,Config!$A:$E,5,0),"")</f>
        <v/>
      </c>
    </row>
    <row r="26" spans="7:9" x14ac:dyDescent="0.3">
      <c r="G26" t="str">
        <f>IFERROR(VLOOKUP(F26,Config!$A:$E,2,0),"")</f>
        <v/>
      </c>
      <c r="H26" t="str">
        <f>IFERROR(VLOOKUP(F26,Config!$A:$E,3,0),"")</f>
        <v/>
      </c>
      <c r="I26" s="4" t="str">
        <f>IFERROR(VLOOKUP(F26,Config!$A:$E,4,0)&amp;CHAR(10)&amp;VLOOKUP(F26,Config!$A:$E,5,0),"")</f>
        <v/>
      </c>
    </row>
    <row r="27" spans="7:9" x14ac:dyDescent="0.3">
      <c r="G27" t="str">
        <f>IFERROR(VLOOKUP(F27,Config!$A:$E,2,0),"")</f>
        <v/>
      </c>
      <c r="H27" t="str">
        <f>IFERROR(VLOOKUP(F27,Config!$A:$E,3,0),"")</f>
        <v/>
      </c>
      <c r="I27" s="4" t="str">
        <f>IFERROR(VLOOKUP(F27,Config!$A:$E,4,0)&amp;CHAR(10)&amp;VLOOKUP(F27,Config!$A:$E,5,0),"")</f>
        <v/>
      </c>
    </row>
    <row r="28" spans="7:9" x14ac:dyDescent="0.3">
      <c r="G28" t="str">
        <f>IFERROR(VLOOKUP(F28,Config!$A:$E,2,0),"")</f>
        <v/>
      </c>
      <c r="H28" t="str">
        <f>IFERROR(VLOOKUP(F28,Config!$A:$E,3,0),"")</f>
        <v/>
      </c>
      <c r="I28" s="4" t="str">
        <f>IFERROR(VLOOKUP(F28,Config!$A:$E,4,0)&amp;CHAR(10)&amp;VLOOKUP(F28,Config!$A:$E,5,0),"")</f>
        <v/>
      </c>
    </row>
    <row r="29" spans="7:9" x14ac:dyDescent="0.3">
      <c r="G29" t="str">
        <f>IFERROR(VLOOKUP(F29,Config!$A:$E,2,0),"")</f>
        <v/>
      </c>
      <c r="H29" t="str">
        <f>IFERROR(VLOOKUP(F29,Config!$A:$E,3,0),"")</f>
        <v/>
      </c>
      <c r="I29" s="4" t="str">
        <f>IFERROR(VLOOKUP(F29,Config!$A:$E,4,0)&amp;CHAR(10)&amp;VLOOKUP(F29,Config!$A:$E,5,0),"")</f>
        <v/>
      </c>
    </row>
    <row r="30" spans="7:9" x14ac:dyDescent="0.3">
      <c r="G30" t="str">
        <f>IFERROR(VLOOKUP(F30,Config!$A:$E,2,0),"")</f>
        <v/>
      </c>
      <c r="H30" t="str">
        <f>IFERROR(VLOOKUP(F30,Config!$A:$E,3,0),"")</f>
        <v/>
      </c>
      <c r="I30" s="4" t="str">
        <f>IFERROR(VLOOKUP(F30,Config!$A:$E,4,0)&amp;CHAR(10)&amp;VLOOKUP(F30,Config!$A:$E,5,0),"")</f>
        <v/>
      </c>
    </row>
    <row r="31" spans="7:9" x14ac:dyDescent="0.3">
      <c r="G31" t="str">
        <f>IFERROR(VLOOKUP(F31,Config!$A:$E,2,0),"")</f>
        <v/>
      </c>
      <c r="H31" t="str">
        <f>IFERROR(VLOOKUP(F31,Config!$A:$E,3,0),"")</f>
        <v/>
      </c>
      <c r="I31" s="4" t="str">
        <f>IFERROR(VLOOKUP(F31,Config!$A:$E,4,0)&amp;CHAR(10)&amp;VLOOKUP(F31,Config!$A:$E,5,0),"")</f>
        <v/>
      </c>
    </row>
    <row r="32" spans="7:9" x14ac:dyDescent="0.3">
      <c r="G32" t="str">
        <f>IFERROR(VLOOKUP(F32,Config!$A:$E,2,0),"")</f>
        <v/>
      </c>
      <c r="H32" t="str">
        <f>IFERROR(VLOOKUP(F32,Config!$A:$E,3,0),"")</f>
        <v/>
      </c>
      <c r="I32" s="4" t="str">
        <f>IFERROR(VLOOKUP(F32,Config!$A:$E,4,0)&amp;CHAR(10)&amp;VLOOKUP(F32,Config!$A:$E,5,0),"")</f>
        <v/>
      </c>
    </row>
    <row r="33" spans="7:9" x14ac:dyDescent="0.3">
      <c r="G33" t="str">
        <f>IFERROR(VLOOKUP(F33,Config!$A:$E,2,0),"")</f>
        <v/>
      </c>
      <c r="H33" t="str">
        <f>IFERROR(VLOOKUP(F33,Config!$A:$E,3,0),"")</f>
        <v/>
      </c>
      <c r="I33" s="4" t="str">
        <f>IFERROR(VLOOKUP(F33,Config!$A:$E,4,0)&amp;CHAR(10)&amp;VLOOKUP(F33,Config!$A:$E,5,0),"")</f>
        <v/>
      </c>
    </row>
    <row r="34" spans="7:9" x14ac:dyDescent="0.3">
      <c r="G34" t="str">
        <f>IFERROR(VLOOKUP(F34,Config!$A:$E,2,0),"")</f>
        <v/>
      </c>
      <c r="H34" t="str">
        <f>IFERROR(VLOOKUP(F34,Config!$A:$E,3,0),"")</f>
        <v/>
      </c>
      <c r="I34" s="4" t="str">
        <f>IFERROR(VLOOKUP(F34,Config!$A:$E,4,0)&amp;CHAR(10)&amp;VLOOKUP(F34,Config!$A:$E,5,0),"")</f>
        <v/>
      </c>
    </row>
    <row r="35" spans="7:9" x14ac:dyDescent="0.3">
      <c r="G35" t="str">
        <f>IFERROR(VLOOKUP(F35,Config!$A:$E,2,0),"")</f>
        <v/>
      </c>
      <c r="H35" t="str">
        <f>IFERROR(VLOOKUP(F35,Config!$A:$E,3,0),"")</f>
        <v/>
      </c>
      <c r="I35" s="4" t="str">
        <f>IFERROR(VLOOKUP(F35,Config!$A:$E,4,0)&amp;CHAR(10)&amp;VLOOKUP(F35,Config!$A:$E,5,0),"")</f>
        <v/>
      </c>
    </row>
    <row r="36" spans="7:9" x14ac:dyDescent="0.3">
      <c r="G36" t="str">
        <f>IFERROR(VLOOKUP(F36,Config!$A:$E,2,0),"")</f>
        <v/>
      </c>
      <c r="H36" t="str">
        <f>IFERROR(VLOOKUP(F36,Config!$A:$E,3,0),"")</f>
        <v/>
      </c>
      <c r="I36" s="4" t="str">
        <f>IFERROR(VLOOKUP(F36,Config!$A:$E,4,0)&amp;CHAR(10)&amp;VLOOKUP(F36,Config!$A:$E,5,0),"")</f>
        <v/>
      </c>
    </row>
    <row r="37" spans="7:9" x14ac:dyDescent="0.3">
      <c r="G37" t="str">
        <f>IFERROR(VLOOKUP(F37,Config!$A:$E,2,0),"")</f>
        <v/>
      </c>
      <c r="H37" t="str">
        <f>IFERROR(VLOOKUP(F37,Config!$A:$E,3,0),"")</f>
        <v/>
      </c>
      <c r="I37" s="4" t="str">
        <f>IFERROR(VLOOKUP(F37,Config!$A:$E,4,0)&amp;CHAR(10)&amp;VLOOKUP(F37,Config!$A:$E,5,0),"")</f>
        <v/>
      </c>
    </row>
    <row r="38" spans="7:9" x14ac:dyDescent="0.3">
      <c r="G38" t="str">
        <f>IFERROR(VLOOKUP(F38,Config!$A:$E,2,0),"")</f>
        <v/>
      </c>
      <c r="H38" t="str">
        <f>IFERROR(VLOOKUP(F38,Config!$A:$E,3,0),"")</f>
        <v/>
      </c>
      <c r="I38" s="4" t="str">
        <f>IFERROR(VLOOKUP(F38,Config!$A:$E,4,0)&amp;CHAR(10)&amp;VLOOKUP(F38,Config!$A:$E,5,0),"")</f>
        <v/>
      </c>
    </row>
    <row r="39" spans="7:9" x14ac:dyDescent="0.3">
      <c r="G39" t="str">
        <f>IFERROR(VLOOKUP(F39,Config!$A:$E,2,0),"")</f>
        <v/>
      </c>
      <c r="H39" t="str">
        <f>IFERROR(VLOOKUP(F39,Config!$A:$E,3,0),"")</f>
        <v/>
      </c>
      <c r="I39" s="4" t="str">
        <f>IFERROR(VLOOKUP(F39,Config!$A:$E,4,0)&amp;CHAR(10)&amp;VLOOKUP(F39,Config!$A:$E,5,0),"")</f>
        <v/>
      </c>
    </row>
    <row r="40" spans="7:9" x14ac:dyDescent="0.3">
      <c r="G40" t="str">
        <f>IFERROR(VLOOKUP(F40,Config!$A:$E,2,0),"")</f>
        <v/>
      </c>
      <c r="H40" t="str">
        <f>IFERROR(VLOOKUP(F40,Config!$A:$E,3,0),"")</f>
        <v/>
      </c>
      <c r="I40" s="4" t="str">
        <f>IFERROR(VLOOKUP(F40,Config!$A:$E,4,0)&amp;CHAR(10)&amp;VLOOKUP(F40,Config!$A:$E,5,0),"")</f>
        <v/>
      </c>
    </row>
    <row r="41" spans="7:9" x14ac:dyDescent="0.3">
      <c r="G41" t="str">
        <f>IFERROR(VLOOKUP(F41,Config!$A:$E,2,0),"")</f>
        <v/>
      </c>
      <c r="H41" t="str">
        <f>IFERROR(VLOOKUP(F41,Config!$A:$E,3,0),"")</f>
        <v/>
      </c>
      <c r="I41" s="4" t="str">
        <f>IFERROR(VLOOKUP(F41,Config!$A:$E,4,0)&amp;CHAR(10)&amp;VLOOKUP(F41,Config!$A:$E,5,0),"")</f>
        <v/>
      </c>
    </row>
    <row r="42" spans="7:9" x14ac:dyDescent="0.3">
      <c r="G42" t="str">
        <f>IFERROR(VLOOKUP(F42,Config!$A:$E,2,0),"")</f>
        <v/>
      </c>
      <c r="H42" t="str">
        <f>IFERROR(VLOOKUP(F42,Config!$A:$E,3,0),"")</f>
        <v/>
      </c>
      <c r="I42" s="4" t="str">
        <f>IFERROR(VLOOKUP(F42,Config!$A:$E,4,0)&amp;CHAR(10)&amp;VLOOKUP(F42,Config!$A:$E,5,0),"")</f>
        <v/>
      </c>
    </row>
    <row r="43" spans="7:9" x14ac:dyDescent="0.3">
      <c r="G43" t="str">
        <f>IFERROR(VLOOKUP(F43,Config!$A:$E,2,0),"")</f>
        <v/>
      </c>
      <c r="H43" t="str">
        <f>IFERROR(VLOOKUP(F43,Config!$A:$E,3,0),"")</f>
        <v/>
      </c>
      <c r="I43" s="4" t="str">
        <f>IFERROR(VLOOKUP(F43,Config!$A:$E,4,0)&amp;CHAR(10)&amp;VLOOKUP(F43,Config!$A:$E,5,0),"")</f>
        <v/>
      </c>
    </row>
    <row r="44" spans="7:9" x14ac:dyDescent="0.3">
      <c r="G44" t="str">
        <f>IFERROR(VLOOKUP(F44,Config!$A:$E,2,0),"")</f>
        <v/>
      </c>
      <c r="H44" t="str">
        <f>IFERROR(VLOOKUP(F44,Config!$A:$E,3,0),"")</f>
        <v/>
      </c>
      <c r="I44" s="4" t="str">
        <f>IFERROR(VLOOKUP(F44,Config!$A:$E,4,0)&amp;CHAR(10)&amp;VLOOKUP(F44,Config!$A:$E,5,0),"")</f>
        <v/>
      </c>
    </row>
    <row r="45" spans="7:9" x14ac:dyDescent="0.3">
      <c r="G45" t="str">
        <f>IFERROR(VLOOKUP(F45,Config!$A:$E,2,0),"")</f>
        <v/>
      </c>
      <c r="H45" t="str">
        <f>IFERROR(VLOOKUP(F45,Config!$A:$E,3,0),"")</f>
        <v/>
      </c>
      <c r="I45" s="4" t="str">
        <f>IFERROR(VLOOKUP(F45,Config!$A:$E,4,0)&amp;CHAR(10)&amp;VLOOKUP(F45,Config!$A:$E,5,0),"")</f>
        <v/>
      </c>
    </row>
    <row r="46" spans="7:9" x14ac:dyDescent="0.3">
      <c r="G46" t="str">
        <f>IFERROR(VLOOKUP(F46,Config!$A:$E,2,0),"")</f>
        <v/>
      </c>
      <c r="H46" t="str">
        <f>IFERROR(VLOOKUP(F46,Config!$A:$E,3,0),"")</f>
        <v/>
      </c>
      <c r="I46" s="4" t="str">
        <f>IFERROR(VLOOKUP(F46,Config!$A:$E,4,0)&amp;CHAR(10)&amp;VLOOKUP(F46,Config!$A:$E,5,0),"")</f>
        <v/>
      </c>
    </row>
    <row r="47" spans="7:9" x14ac:dyDescent="0.3">
      <c r="G47" t="str">
        <f>IFERROR(VLOOKUP(F47,Config!$A:$E,2,0),"")</f>
        <v/>
      </c>
      <c r="H47" t="str">
        <f>IFERROR(VLOOKUP(F47,Config!$A:$E,3,0),"")</f>
        <v/>
      </c>
      <c r="I47" s="4" t="str">
        <f>IFERROR(VLOOKUP(F47,Config!$A:$E,4,0)&amp;CHAR(10)&amp;VLOOKUP(F47,Config!$A:$E,5,0),"")</f>
        <v/>
      </c>
    </row>
    <row r="48" spans="7:9" x14ac:dyDescent="0.3">
      <c r="G48" t="str">
        <f>IFERROR(VLOOKUP(F48,Config!$A:$E,2,0),"")</f>
        <v/>
      </c>
      <c r="H48" t="str">
        <f>IFERROR(VLOOKUP(F48,Config!$A:$E,3,0),"")</f>
        <v/>
      </c>
      <c r="I48" s="4" t="str">
        <f>IFERROR(VLOOKUP(F48,Config!$A:$E,4,0)&amp;CHAR(10)&amp;VLOOKUP(F48,Config!$A:$E,5,0),"")</f>
        <v/>
      </c>
    </row>
    <row r="49" spans="7:9" x14ac:dyDescent="0.3">
      <c r="G49" t="str">
        <f>IFERROR(VLOOKUP(F49,Config!$A:$E,2,0),"")</f>
        <v/>
      </c>
      <c r="H49" t="str">
        <f>IFERROR(VLOOKUP(F49,Config!$A:$E,3,0),"")</f>
        <v/>
      </c>
      <c r="I49" s="4" t="str">
        <f>IFERROR(VLOOKUP(F49,Config!$A:$E,4,0)&amp;CHAR(10)&amp;VLOOKUP(F49,Config!$A:$E,5,0),"")</f>
        <v/>
      </c>
    </row>
    <row r="50" spans="7:9" x14ac:dyDescent="0.3">
      <c r="G50" t="str">
        <f>IFERROR(VLOOKUP(F50,Config!$A:$E,2,0),"")</f>
        <v/>
      </c>
      <c r="H50" t="str">
        <f>IFERROR(VLOOKUP(F50,Config!$A:$E,3,0),"")</f>
        <v/>
      </c>
      <c r="I50" s="4" t="str">
        <f>IFERROR(VLOOKUP(F50,Config!$A:$E,4,0)&amp;CHAR(10)&amp;VLOOKUP(F50,Config!$A:$E,5,0),"")</f>
        <v/>
      </c>
    </row>
    <row r="51" spans="7:9" x14ac:dyDescent="0.3">
      <c r="G51" t="str">
        <f>IFERROR(VLOOKUP(F51,Config!$A:$E,2,0),"")</f>
        <v/>
      </c>
      <c r="H51" t="str">
        <f>IFERROR(VLOOKUP(F51,Config!$A:$E,3,0),"")</f>
        <v/>
      </c>
      <c r="I51" s="4" t="str">
        <f>IFERROR(VLOOKUP(F51,Config!$A:$E,4,0)&amp;CHAR(10)&amp;VLOOKUP(F51,Config!$A:$E,5,0),"")</f>
        <v/>
      </c>
    </row>
    <row r="52" spans="7:9" x14ac:dyDescent="0.3">
      <c r="G52" t="str">
        <f>IFERROR(VLOOKUP(F52,Config!$A:$E,2,0),"")</f>
        <v/>
      </c>
      <c r="H52" t="str">
        <f>IFERROR(VLOOKUP(F52,Config!$A:$E,3,0),"")</f>
        <v/>
      </c>
      <c r="I52" s="4" t="str">
        <f>IFERROR(VLOOKUP(F52,Config!$A:$E,4,0)&amp;CHAR(10)&amp;VLOOKUP(F52,Config!$A:$E,5,0),"")</f>
        <v/>
      </c>
    </row>
    <row r="53" spans="7:9" x14ac:dyDescent="0.3">
      <c r="G53" t="str">
        <f>IFERROR(VLOOKUP(F53,Config!$A:$E,2,0),"")</f>
        <v/>
      </c>
      <c r="H53" t="str">
        <f>IFERROR(VLOOKUP(F53,Config!$A:$E,3,0),"")</f>
        <v/>
      </c>
      <c r="I53" s="4" t="str">
        <f>IFERROR(VLOOKUP(F53,Config!$A:$E,4,0)&amp;CHAR(10)&amp;VLOOKUP(F53,Config!$A:$E,5,0),"")</f>
        <v/>
      </c>
    </row>
    <row r="54" spans="7:9" x14ac:dyDescent="0.3">
      <c r="G54" t="str">
        <f>IFERROR(VLOOKUP(F54,Config!$A:$E,2,0),"")</f>
        <v/>
      </c>
      <c r="H54" t="str">
        <f>IFERROR(VLOOKUP(F54,Config!$A:$E,3,0),"")</f>
        <v/>
      </c>
      <c r="I54" s="4" t="str">
        <f>IFERROR(VLOOKUP(F54,Config!$A:$E,4,0)&amp;CHAR(10)&amp;VLOOKUP(F54,Config!$A:$E,5,0),"")</f>
        <v/>
      </c>
    </row>
    <row r="55" spans="7:9" x14ac:dyDescent="0.3">
      <c r="G55" t="str">
        <f>IFERROR(VLOOKUP(F55,Config!$A:$E,2,0),"")</f>
        <v/>
      </c>
      <c r="H55" t="str">
        <f>IFERROR(VLOOKUP(F55,Config!$A:$E,3,0),"")</f>
        <v/>
      </c>
      <c r="I55" s="4" t="str">
        <f>IFERROR(VLOOKUP(F55,Config!$A:$E,4,0)&amp;CHAR(10)&amp;VLOOKUP(F55,Config!$A:$E,5,0),"")</f>
        <v/>
      </c>
    </row>
    <row r="56" spans="7:9" x14ac:dyDescent="0.3">
      <c r="G56" t="str">
        <f>IFERROR(VLOOKUP(F56,Config!$A:$E,2,0),"")</f>
        <v/>
      </c>
      <c r="H56" t="str">
        <f>IFERROR(VLOOKUP(F56,Config!$A:$E,3,0),"")</f>
        <v/>
      </c>
      <c r="I56" s="4" t="str">
        <f>IFERROR(VLOOKUP(F56,Config!$A:$E,4,0)&amp;CHAR(10)&amp;VLOOKUP(F56,Config!$A:$E,5,0),"")</f>
        <v/>
      </c>
    </row>
    <row r="57" spans="7:9" x14ac:dyDescent="0.3">
      <c r="G57" t="str">
        <f>IFERROR(VLOOKUP(F57,Config!$A:$E,2,0),"")</f>
        <v/>
      </c>
      <c r="H57" t="str">
        <f>IFERROR(VLOOKUP(F57,Config!$A:$E,3,0),"")</f>
        <v/>
      </c>
      <c r="I57" s="4" t="str">
        <f>IFERROR(VLOOKUP(F57,Config!$A:$E,4,0)&amp;CHAR(10)&amp;VLOOKUP(F57,Config!$A:$E,5,0),"")</f>
        <v/>
      </c>
    </row>
    <row r="58" spans="7:9" x14ac:dyDescent="0.3">
      <c r="G58" t="str">
        <f>IFERROR(VLOOKUP(F58,Config!$A:$E,2,0),"")</f>
        <v/>
      </c>
      <c r="H58" t="str">
        <f>IFERROR(VLOOKUP(F58,Config!$A:$E,3,0),"")</f>
        <v/>
      </c>
      <c r="I58" s="4" t="str">
        <f>IFERROR(VLOOKUP(F58,Config!$A:$E,4,0)&amp;CHAR(10)&amp;VLOOKUP(F58,Config!$A:$E,5,0),"")</f>
        <v/>
      </c>
    </row>
    <row r="59" spans="7:9" x14ac:dyDescent="0.3">
      <c r="G59" t="str">
        <f>IFERROR(VLOOKUP(F59,Config!$A:$E,2,0),"")</f>
        <v/>
      </c>
      <c r="H59" t="str">
        <f>IFERROR(VLOOKUP(F59,Config!$A:$E,3,0),"")</f>
        <v/>
      </c>
      <c r="I59" s="4" t="str">
        <f>IFERROR(VLOOKUP(F59,Config!$A:$E,4,0)&amp;CHAR(10)&amp;VLOOKUP(F59,Config!$A:$E,5,0),"")</f>
        <v/>
      </c>
    </row>
    <row r="60" spans="7:9" x14ac:dyDescent="0.3">
      <c r="G60" t="str">
        <f>IFERROR(VLOOKUP(F60,Config!$A:$E,2,0),"")</f>
        <v/>
      </c>
      <c r="H60" t="str">
        <f>IFERROR(VLOOKUP(F60,Config!$A:$E,3,0),"")</f>
        <v/>
      </c>
      <c r="I60" s="4" t="str">
        <f>IFERROR(VLOOKUP(F60,Config!$A:$E,4,0)&amp;CHAR(10)&amp;VLOOKUP(F60,Config!$A:$E,5,0),"")</f>
        <v/>
      </c>
    </row>
    <row r="61" spans="7:9" x14ac:dyDescent="0.3">
      <c r="G61" t="str">
        <f>IFERROR(VLOOKUP(F61,Config!$A:$E,2,0),"")</f>
        <v/>
      </c>
      <c r="H61" t="str">
        <f>IFERROR(VLOOKUP(F61,Config!$A:$E,3,0),"")</f>
        <v/>
      </c>
      <c r="I61" s="4" t="str">
        <f>IFERROR(VLOOKUP(F61,Config!$A:$E,4,0)&amp;CHAR(10)&amp;VLOOKUP(F61,Config!$A:$E,5,0),"")</f>
        <v/>
      </c>
    </row>
    <row r="62" spans="7:9" x14ac:dyDescent="0.3">
      <c r="G62" t="str">
        <f>IFERROR(VLOOKUP(F62,Config!$A:$E,2,0),"")</f>
        <v/>
      </c>
      <c r="H62" t="str">
        <f>IFERROR(VLOOKUP(F62,Config!$A:$E,3,0),"")</f>
        <v/>
      </c>
      <c r="I62" s="4" t="str">
        <f>IFERROR(VLOOKUP(F62,Config!$A:$E,4,0)&amp;CHAR(10)&amp;VLOOKUP(F62,Config!$A:$E,5,0),"")</f>
        <v/>
      </c>
    </row>
    <row r="63" spans="7:9" x14ac:dyDescent="0.3">
      <c r="G63" t="str">
        <f>IFERROR(VLOOKUP(F63,Config!$A:$E,2,0),"")</f>
        <v/>
      </c>
      <c r="H63" t="str">
        <f>IFERROR(VLOOKUP(F63,Config!$A:$E,3,0),"")</f>
        <v/>
      </c>
      <c r="I63" s="4" t="str">
        <f>IFERROR(VLOOKUP(F63,Config!$A:$E,4,0)&amp;CHAR(10)&amp;VLOOKUP(F63,Config!$A:$E,5,0),"")</f>
        <v/>
      </c>
    </row>
    <row r="64" spans="7:9" x14ac:dyDescent="0.3">
      <c r="G64" t="str">
        <f>IFERROR(VLOOKUP(F64,Config!$A:$E,2,0),"")</f>
        <v/>
      </c>
      <c r="H64" t="str">
        <f>IFERROR(VLOOKUP(F64,Config!$A:$E,3,0),"")</f>
        <v/>
      </c>
      <c r="I64" s="4" t="str">
        <f>IFERROR(VLOOKUP(F64,Config!$A:$E,4,0)&amp;CHAR(10)&amp;VLOOKUP(F64,Config!$A:$E,5,0),"")</f>
        <v/>
      </c>
    </row>
    <row r="65" spans="7:9" x14ac:dyDescent="0.3">
      <c r="G65" t="str">
        <f>IFERROR(VLOOKUP(F65,Config!$A:$E,2,0),"")</f>
        <v/>
      </c>
      <c r="H65" t="str">
        <f>IFERROR(VLOOKUP(F65,Config!$A:$E,3,0),"")</f>
        <v/>
      </c>
      <c r="I65" s="4" t="str">
        <f>IFERROR(VLOOKUP(F65,Config!$A:$E,4,0)&amp;CHAR(10)&amp;VLOOKUP(F65,Config!$A:$E,5,0),"")</f>
        <v/>
      </c>
    </row>
    <row r="66" spans="7:9" x14ac:dyDescent="0.3">
      <c r="G66" t="str">
        <f>IFERROR(VLOOKUP(F66,Config!$A:$E,2,0),"")</f>
        <v/>
      </c>
      <c r="H66" t="str">
        <f>IFERROR(VLOOKUP(F66,Config!$A:$E,3,0),"")</f>
        <v/>
      </c>
      <c r="I66" s="4" t="str">
        <f>IFERROR(VLOOKUP(F66,Config!$A:$E,4,0)&amp;CHAR(10)&amp;VLOOKUP(F66,Config!$A:$E,5,0),"")</f>
        <v/>
      </c>
    </row>
    <row r="67" spans="7:9" x14ac:dyDescent="0.3">
      <c r="G67" t="str">
        <f>IFERROR(VLOOKUP(F67,Config!$A:$E,2,0),"")</f>
        <v/>
      </c>
      <c r="H67" t="str">
        <f>IFERROR(VLOOKUP(F67,Config!$A:$E,3,0),"")</f>
        <v/>
      </c>
      <c r="I67" s="4" t="str">
        <f>IFERROR(VLOOKUP(F67,Config!$A:$E,4,0)&amp;CHAR(10)&amp;VLOOKUP(F67,Config!$A:$E,5,0),"")</f>
        <v/>
      </c>
    </row>
    <row r="68" spans="7:9" x14ac:dyDescent="0.3">
      <c r="G68" t="str">
        <f>IFERROR(VLOOKUP(F68,Config!$A:$E,2,0),"")</f>
        <v/>
      </c>
      <c r="H68" t="str">
        <f>IFERROR(VLOOKUP(F68,Config!$A:$E,3,0),"")</f>
        <v/>
      </c>
      <c r="I68" s="4" t="str">
        <f>IFERROR(VLOOKUP(F68,Config!$A:$E,4,0)&amp;CHAR(10)&amp;VLOOKUP(F68,Config!$A:$E,5,0),"")</f>
        <v/>
      </c>
    </row>
    <row r="69" spans="7:9" x14ac:dyDescent="0.3">
      <c r="G69" t="str">
        <f>IFERROR(VLOOKUP(F69,Config!$A:$E,2,0),"")</f>
        <v/>
      </c>
      <c r="H69" t="str">
        <f>IFERROR(VLOOKUP(F69,Config!$A:$E,3,0),"")</f>
        <v/>
      </c>
      <c r="I69" s="4" t="str">
        <f>IFERROR(VLOOKUP(F69,Config!$A:$E,4,0)&amp;CHAR(10)&amp;VLOOKUP(F69,Config!$A:$E,5,0),"")</f>
        <v/>
      </c>
    </row>
    <row r="70" spans="7:9" x14ac:dyDescent="0.3">
      <c r="G70" t="str">
        <f>IFERROR(VLOOKUP(F70,Config!$A:$E,2,0),"")</f>
        <v/>
      </c>
      <c r="H70" t="str">
        <f>IFERROR(VLOOKUP(F70,Config!$A:$E,3,0),"")</f>
        <v/>
      </c>
      <c r="I70" s="4" t="str">
        <f>IFERROR(VLOOKUP(F70,Config!$A:$E,4,0)&amp;CHAR(10)&amp;VLOOKUP(F70,Config!$A:$E,5,0),"")</f>
        <v/>
      </c>
    </row>
    <row r="71" spans="7:9" x14ac:dyDescent="0.3">
      <c r="G71" t="str">
        <f>IFERROR(VLOOKUP(F71,Config!$A:$E,2,0),"")</f>
        <v/>
      </c>
      <c r="H71" t="str">
        <f>IFERROR(VLOOKUP(F71,Config!$A:$E,3,0),"")</f>
        <v/>
      </c>
      <c r="I71" s="4" t="str">
        <f>IFERROR(VLOOKUP(F71,Config!$A:$E,4,0)&amp;CHAR(10)&amp;VLOOKUP(F71,Config!$A:$E,5,0),"")</f>
        <v/>
      </c>
    </row>
    <row r="72" spans="7:9" x14ac:dyDescent="0.3">
      <c r="G72" t="str">
        <f>IFERROR(VLOOKUP(F72,Config!$A:$E,2,0),"")</f>
        <v/>
      </c>
      <c r="H72" t="str">
        <f>IFERROR(VLOOKUP(F72,Config!$A:$E,3,0),"")</f>
        <v/>
      </c>
      <c r="I72" s="4" t="str">
        <f>IFERROR(VLOOKUP(F72,Config!$A:$E,4,0)&amp;CHAR(10)&amp;VLOOKUP(F72,Config!$A:$E,5,0),"")</f>
        <v/>
      </c>
    </row>
    <row r="73" spans="7:9" x14ac:dyDescent="0.3">
      <c r="G73" t="str">
        <f>IFERROR(VLOOKUP(F73,Config!$A:$E,2,0),"")</f>
        <v/>
      </c>
      <c r="H73" t="str">
        <f>IFERROR(VLOOKUP(F73,Config!$A:$E,3,0),"")</f>
        <v/>
      </c>
      <c r="I73" s="4" t="str">
        <f>IFERROR(VLOOKUP(F73,Config!$A:$E,4,0)&amp;CHAR(10)&amp;VLOOKUP(F73,Config!$A:$E,5,0),"")</f>
        <v/>
      </c>
    </row>
    <row r="74" spans="7:9" x14ac:dyDescent="0.3">
      <c r="G74" t="str">
        <f>IFERROR(VLOOKUP(F74,Config!$A:$E,2,0),"")</f>
        <v/>
      </c>
      <c r="H74" t="str">
        <f>IFERROR(VLOOKUP(F74,Config!$A:$E,3,0),"")</f>
        <v/>
      </c>
      <c r="I74" s="4" t="str">
        <f>IFERROR(VLOOKUP(F74,Config!$A:$E,4,0)&amp;CHAR(10)&amp;VLOOKUP(F74,Config!$A:$E,5,0),"")</f>
        <v/>
      </c>
    </row>
    <row r="75" spans="7:9" x14ac:dyDescent="0.3">
      <c r="G75" t="str">
        <f>IFERROR(VLOOKUP(F75,Config!$A:$E,2,0),"")</f>
        <v/>
      </c>
      <c r="H75" t="str">
        <f>IFERROR(VLOOKUP(F75,Config!$A:$E,3,0),"")</f>
        <v/>
      </c>
      <c r="I75" s="4" t="str">
        <f>IFERROR(VLOOKUP(F75,Config!$A:$E,4,0)&amp;CHAR(10)&amp;VLOOKUP(F75,Config!$A:$E,5,0),"")</f>
        <v/>
      </c>
    </row>
    <row r="76" spans="7:9" x14ac:dyDescent="0.3">
      <c r="G76" t="str">
        <f>IFERROR(VLOOKUP(F76,Config!$A:$E,2,0),"")</f>
        <v/>
      </c>
      <c r="H76" t="str">
        <f>IFERROR(VLOOKUP(F76,Config!$A:$E,3,0),"")</f>
        <v/>
      </c>
      <c r="I76" s="4" t="str">
        <f>IFERROR(VLOOKUP(F76,Config!$A:$E,4,0)&amp;CHAR(10)&amp;VLOOKUP(F76,Config!$A:$E,5,0),"")</f>
        <v/>
      </c>
    </row>
    <row r="77" spans="7:9" x14ac:dyDescent="0.3">
      <c r="G77" t="str">
        <f>IFERROR(VLOOKUP(F77,Config!$A:$E,2,0),"")</f>
        <v/>
      </c>
      <c r="H77" t="str">
        <f>IFERROR(VLOOKUP(F77,Config!$A:$E,3,0),"")</f>
        <v/>
      </c>
      <c r="I77" s="4" t="str">
        <f>IFERROR(VLOOKUP(F77,Config!$A:$E,4,0)&amp;CHAR(10)&amp;VLOOKUP(F77,Config!$A:$E,5,0),"")</f>
        <v/>
      </c>
    </row>
    <row r="78" spans="7:9" x14ac:dyDescent="0.3">
      <c r="G78" t="str">
        <f>IFERROR(VLOOKUP(F78,Config!$A:$E,2,0),"")</f>
        <v/>
      </c>
      <c r="H78" t="str">
        <f>IFERROR(VLOOKUP(F78,Config!$A:$E,3,0),"")</f>
        <v/>
      </c>
      <c r="I78" s="4" t="str">
        <f>IFERROR(VLOOKUP(F78,Config!$A:$E,4,0)&amp;CHAR(10)&amp;VLOOKUP(F78,Config!$A:$E,5,0),"")</f>
        <v/>
      </c>
    </row>
    <row r="79" spans="7:9" x14ac:dyDescent="0.3">
      <c r="G79" t="str">
        <f>IFERROR(VLOOKUP(F79,Config!$A:$E,2,0),"")</f>
        <v/>
      </c>
      <c r="H79" t="str">
        <f>IFERROR(VLOOKUP(F79,Config!$A:$E,3,0),"")</f>
        <v/>
      </c>
      <c r="I79" s="4" t="str">
        <f>IFERROR(VLOOKUP(F79,Config!$A:$E,4,0)&amp;CHAR(10)&amp;VLOOKUP(F79,Config!$A:$E,5,0),"")</f>
        <v/>
      </c>
    </row>
    <row r="80" spans="7:9" x14ac:dyDescent="0.3">
      <c r="G80" t="str">
        <f>IFERROR(VLOOKUP(F80,Config!$A:$E,2,0),"")</f>
        <v/>
      </c>
      <c r="H80" t="str">
        <f>IFERROR(VLOOKUP(F80,Config!$A:$E,3,0),"")</f>
        <v/>
      </c>
      <c r="I80" s="4" t="str">
        <f>IFERROR(VLOOKUP(F80,Config!$A:$E,4,0)&amp;CHAR(10)&amp;VLOOKUP(F80,Config!$A:$E,5,0),"")</f>
        <v/>
      </c>
    </row>
    <row r="81" spans="7:9" x14ac:dyDescent="0.3">
      <c r="G81" t="str">
        <f>IFERROR(VLOOKUP(F81,Config!$A:$E,2,0),"")</f>
        <v/>
      </c>
      <c r="H81" t="str">
        <f>IFERROR(VLOOKUP(F81,Config!$A:$E,3,0),"")</f>
        <v/>
      </c>
      <c r="I81" s="4" t="str">
        <f>IFERROR(VLOOKUP(F81,Config!$A:$E,4,0)&amp;CHAR(10)&amp;VLOOKUP(F81,Config!$A:$E,5,0),"")</f>
        <v/>
      </c>
    </row>
    <row r="82" spans="7:9" x14ac:dyDescent="0.3">
      <c r="G82" t="str">
        <f>IFERROR(VLOOKUP(F82,Config!$A:$E,2,0),"")</f>
        <v/>
      </c>
      <c r="H82" t="str">
        <f>IFERROR(VLOOKUP(F82,Config!$A:$E,3,0),"")</f>
        <v/>
      </c>
      <c r="I82" s="4" t="str">
        <f>IFERROR(VLOOKUP(F82,Config!$A:$E,4,0)&amp;CHAR(10)&amp;VLOOKUP(F82,Config!$A:$E,5,0),"")</f>
        <v/>
      </c>
    </row>
    <row r="83" spans="7:9" x14ac:dyDescent="0.3">
      <c r="G83" t="str">
        <f>IFERROR(VLOOKUP(F83,Config!$A:$E,2,0),"")</f>
        <v/>
      </c>
      <c r="H83" t="str">
        <f>IFERROR(VLOOKUP(F83,Config!$A:$E,3,0),"")</f>
        <v/>
      </c>
      <c r="I83" s="4" t="str">
        <f>IFERROR(VLOOKUP(F83,Config!$A:$E,4,0)&amp;CHAR(10)&amp;VLOOKUP(F83,Config!$A:$E,5,0),"")</f>
        <v/>
      </c>
    </row>
    <row r="84" spans="7:9" x14ac:dyDescent="0.3">
      <c r="G84" t="str">
        <f>IFERROR(VLOOKUP(F84,Config!$A:$E,2,0),"")</f>
        <v/>
      </c>
      <c r="H84" t="str">
        <f>IFERROR(VLOOKUP(F84,Config!$A:$E,3,0),"")</f>
        <v/>
      </c>
      <c r="I84" s="4" t="str">
        <f>IFERROR(VLOOKUP(F84,Config!$A:$E,4,0)&amp;CHAR(10)&amp;VLOOKUP(F84,Config!$A:$E,5,0),"")</f>
        <v/>
      </c>
    </row>
    <row r="85" spans="7:9" x14ac:dyDescent="0.3">
      <c r="G85" t="str">
        <f>IFERROR(VLOOKUP(F85,Config!$A:$E,2,0),"")</f>
        <v/>
      </c>
      <c r="H85" t="str">
        <f>IFERROR(VLOOKUP(F85,Config!$A:$E,3,0),"")</f>
        <v/>
      </c>
      <c r="I85" s="4" t="str">
        <f>IFERROR(VLOOKUP(F85,Config!$A:$E,4,0)&amp;CHAR(10)&amp;VLOOKUP(F85,Config!$A:$E,5,0),"")</f>
        <v/>
      </c>
    </row>
    <row r="86" spans="7:9" x14ac:dyDescent="0.3">
      <c r="G86" t="str">
        <f>IFERROR(VLOOKUP(F86,Config!$A:$E,2,0),"")</f>
        <v/>
      </c>
      <c r="H86" t="str">
        <f>IFERROR(VLOOKUP(F86,Config!$A:$E,3,0),"")</f>
        <v/>
      </c>
      <c r="I86" s="4" t="str">
        <f>IFERROR(VLOOKUP(F86,Config!$A:$E,4,0)&amp;CHAR(10)&amp;VLOOKUP(F86,Config!$A:$E,5,0),"")</f>
        <v/>
      </c>
    </row>
    <row r="87" spans="7:9" x14ac:dyDescent="0.3">
      <c r="G87" t="str">
        <f>IFERROR(VLOOKUP(F87,Config!$A:$E,2,0),"")</f>
        <v/>
      </c>
      <c r="H87" t="str">
        <f>IFERROR(VLOOKUP(F87,Config!$A:$E,3,0),"")</f>
        <v/>
      </c>
      <c r="I87" s="4" t="str">
        <f>IFERROR(VLOOKUP(F87,Config!$A:$E,4,0)&amp;CHAR(10)&amp;VLOOKUP(F87,Config!$A:$E,5,0),"")</f>
        <v/>
      </c>
    </row>
    <row r="88" spans="7:9" x14ac:dyDescent="0.3">
      <c r="G88" t="str">
        <f>IFERROR(VLOOKUP(F88,Config!$A:$E,2,0),"")</f>
        <v/>
      </c>
      <c r="H88" t="str">
        <f>IFERROR(VLOOKUP(F88,Config!$A:$E,3,0),"")</f>
        <v/>
      </c>
      <c r="I88" s="4" t="str">
        <f>IFERROR(VLOOKUP(F88,Config!$A:$E,4,0)&amp;CHAR(10)&amp;VLOOKUP(F88,Config!$A:$E,5,0),"")</f>
        <v/>
      </c>
    </row>
    <row r="89" spans="7:9" x14ac:dyDescent="0.3">
      <c r="G89" t="str">
        <f>IFERROR(VLOOKUP(F89,Config!$A:$E,2,0),"")</f>
        <v/>
      </c>
      <c r="H89" t="str">
        <f>IFERROR(VLOOKUP(F89,Config!$A:$E,3,0),"")</f>
        <v/>
      </c>
      <c r="I89" s="4" t="str">
        <f>IFERROR(VLOOKUP(F89,Config!$A:$E,4,0)&amp;CHAR(10)&amp;VLOOKUP(F89,Config!$A:$E,5,0),"")</f>
        <v/>
      </c>
    </row>
    <row r="90" spans="7:9" x14ac:dyDescent="0.3">
      <c r="G90" t="str">
        <f>IFERROR(VLOOKUP(F90,Config!$A:$E,2,0),"")</f>
        <v/>
      </c>
      <c r="H90" t="str">
        <f>IFERROR(VLOOKUP(F90,Config!$A:$E,3,0),"")</f>
        <v/>
      </c>
      <c r="I90" s="4" t="str">
        <f>IFERROR(VLOOKUP(F90,Config!$A:$E,4,0)&amp;CHAR(10)&amp;VLOOKUP(F90,Config!$A:$E,5,0),"")</f>
        <v/>
      </c>
    </row>
    <row r="91" spans="7:9" x14ac:dyDescent="0.3">
      <c r="G91" t="str">
        <f>IFERROR(VLOOKUP(F91,Config!$A:$E,2,0),"")</f>
        <v/>
      </c>
      <c r="H91" t="str">
        <f>IFERROR(VLOOKUP(F91,Config!$A:$E,3,0),"")</f>
        <v/>
      </c>
      <c r="I91" s="4" t="str">
        <f>IFERROR(VLOOKUP(F91,Config!$A:$E,4,0)&amp;CHAR(10)&amp;VLOOKUP(F91,Config!$A:$E,5,0),"")</f>
        <v/>
      </c>
    </row>
    <row r="92" spans="7:9" x14ac:dyDescent="0.3">
      <c r="G92" t="str">
        <f>IFERROR(VLOOKUP(F92,Config!$A:$E,2,0),"")</f>
        <v/>
      </c>
      <c r="H92" t="str">
        <f>IFERROR(VLOOKUP(F92,Config!$A:$E,3,0),"")</f>
        <v/>
      </c>
      <c r="I92" s="4" t="str">
        <f>IFERROR(VLOOKUP(F92,Config!$A:$E,4,0)&amp;CHAR(10)&amp;VLOOKUP(F92,Config!$A:$E,5,0),"")</f>
        <v/>
      </c>
    </row>
    <row r="93" spans="7:9" x14ac:dyDescent="0.3">
      <c r="G93" t="str">
        <f>IFERROR(VLOOKUP(F93,Config!$A:$E,2,0),"")</f>
        <v/>
      </c>
      <c r="H93" t="str">
        <f>IFERROR(VLOOKUP(F93,Config!$A:$E,3,0),"")</f>
        <v/>
      </c>
      <c r="I93" s="4" t="str">
        <f>IFERROR(VLOOKUP(F93,Config!$A:$E,4,0)&amp;CHAR(10)&amp;VLOOKUP(F93,Config!$A:$E,5,0),"")</f>
        <v/>
      </c>
    </row>
    <row r="94" spans="7:9" x14ac:dyDescent="0.3">
      <c r="G94" t="str">
        <f>IFERROR(VLOOKUP(F94,Config!$A:$E,2,0),"")</f>
        <v/>
      </c>
      <c r="H94" t="str">
        <f>IFERROR(VLOOKUP(F94,Config!$A:$E,3,0),"")</f>
        <v/>
      </c>
      <c r="I94" s="4" t="str">
        <f>IFERROR(VLOOKUP(F94,Config!$A:$E,4,0)&amp;CHAR(10)&amp;VLOOKUP(F94,Config!$A:$E,5,0),"")</f>
        <v/>
      </c>
    </row>
    <row r="95" spans="7:9" x14ac:dyDescent="0.3">
      <c r="G95" t="str">
        <f>IFERROR(VLOOKUP(F95,Config!$A:$E,2,0),"")</f>
        <v/>
      </c>
      <c r="H95" t="str">
        <f>IFERROR(VLOOKUP(F95,Config!$A:$E,3,0),"")</f>
        <v/>
      </c>
      <c r="I95" s="4" t="str">
        <f>IFERROR(VLOOKUP(F95,Config!$A:$E,4,0)&amp;CHAR(10)&amp;VLOOKUP(F95,Config!$A:$E,5,0),"")</f>
        <v/>
      </c>
    </row>
    <row r="96" spans="7:9" x14ac:dyDescent="0.3">
      <c r="G96" t="str">
        <f>IFERROR(VLOOKUP(F96,Config!$A:$E,2,0),"")</f>
        <v/>
      </c>
      <c r="H96" t="str">
        <f>IFERROR(VLOOKUP(F96,Config!$A:$E,3,0),"")</f>
        <v/>
      </c>
      <c r="I96" s="4" t="str">
        <f>IFERROR(VLOOKUP(F96,Config!$A:$E,4,0)&amp;CHAR(10)&amp;VLOOKUP(F96,Config!$A:$E,5,0),"")</f>
        <v/>
      </c>
    </row>
    <row r="97" spans="7:9" x14ac:dyDescent="0.3">
      <c r="G97" t="str">
        <f>IFERROR(VLOOKUP(F97,Config!$A:$E,2,0),"")</f>
        <v/>
      </c>
      <c r="H97" t="str">
        <f>IFERROR(VLOOKUP(F97,Config!$A:$E,3,0),"")</f>
        <v/>
      </c>
      <c r="I97" s="4" t="str">
        <f>IFERROR(VLOOKUP(F97,Config!$A:$E,4,0)&amp;CHAR(10)&amp;VLOOKUP(F97,Config!$A:$E,5,0),"")</f>
        <v/>
      </c>
    </row>
    <row r="98" spans="7:9" x14ac:dyDescent="0.3">
      <c r="G98" t="str">
        <f>IFERROR(VLOOKUP(F98,Config!$A:$E,2,0),"")</f>
        <v/>
      </c>
      <c r="H98" t="str">
        <f>IFERROR(VLOOKUP(F98,Config!$A:$E,3,0),"")</f>
        <v/>
      </c>
      <c r="I98" s="4" t="str">
        <f>IFERROR(VLOOKUP(F98,Config!$A:$E,4,0)&amp;CHAR(10)&amp;VLOOKUP(F98,Config!$A:$E,5,0),"")</f>
        <v/>
      </c>
    </row>
    <row r="99" spans="7:9" x14ac:dyDescent="0.3">
      <c r="G99" t="str">
        <f>IFERROR(VLOOKUP(F99,Config!$A:$E,2,0),"")</f>
        <v/>
      </c>
      <c r="H99" t="str">
        <f>IFERROR(VLOOKUP(F99,Config!$A:$E,3,0),"")</f>
        <v/>
      </c>
      <c r="I99" s="4" t="str">
        <f>IFERROR(VLOOKUP(F99,Config!$A:$E,4,0)&amp;CHAR(10)&amp;VLOOKUP(F99,Config!$A:$E,5,0),"")</f>
        <v/>
      </c>
    </row>
    <row r="100" spans="7:9" x14ac:dyDescent="0.3">
      <c r="G100" t="str">
        <f>IFERROR(VLOOKUP(F100,Config!$A:$E,2,0),"")</f>
        <v/>
      </c>
      <c r="H100" t="str">
        <f>IFERROR(VLOOKUP(F100,Config!$A:$E,3,0),"")</f>
        <v/>
      </c>
      <c r="I100" s="4" t="str">
        <f>IFERROR(VLOOKUP(F100,Config!$A:$E,4,0)&amp;CHAR(10)&amp;VLOOKUP(F100,Config!$A:$E,5,0),"")</f>
        <v/>
      </c>
    </row>
  </sheetData>
  <phoneticPr fontId="4" type="noConversion"/>
  <conditionalFormatting sqref="L3:L100">
    <cfRule type="notContainsBlanks" dxfId="4" priority="1">
      <formula>LEN(TRIM(L3))&gt;0</formula>
    </cfRule>
  </conditionalFormatting>
  <conditionalFormatting sqref="N3:N100">
    <cfRule type="notContainsBlanks" dxfId="3" priority="2">
      <formula>LEN(TRIM(N3))&gt;0</formula>
    </cfRule>
  </conditionalFormatting>
  <conditionalFormatting sqref="O3:O100">
    <cfRule type="expression" dxfId="2" priority="4">
      <formula>AND(O3&lt;TODAY(), O3&lt;&gt;"", P3="")</formula>
    </cfRule>
  </conditionalFormatting>
  <conditionalFormatting sqref="P3:P100">
    <cfRule type="notContainsBlanks" dxfId="1" priority="3">
      <formula>LEN(TRIM(P3))&gt;0</formula>
    </cfRule>
  </conditionalFormatting>
  <conditionalFormatting sqref="R3:AZ100">
    <cfRule type="expression" dxfId="0" priority="5">
      <formula>AND(R$1&gt;=$J3, R$1&lt;=$O3)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Config!$H$2:$H$6</xm:f>
          </x14:formula1>
          <xm:sqref>D3:D100</xm:sqref>
        </x14:dataValidation>
        <x14:dataValidation type="list" allowBlank="1" showInputMessage="1" showErrorMessage="1" xr:uid="{00000000-0002-0000-0100-000001000000}">
          <x14:formula1>
            <xm:f>Config!$G$2:$G$9</xm:f>
          </x14:formula1>
          <xm:sqref>E3:E100</xm:sqref>
        </x14:dataValidation>
        <x14:dataValidation type="list" allowBlank="1" showInputMessage="1" showErrorMessage="1" xr:uid="{00000000-0002-0000-0100-000002000000}">
          <x14:formula1>
            <xm:f>Config!$A$2:$A$20</xm:f>
          </x14:formula1>
          <xm:sqref>F3:F100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承辦進度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znom</cp:lastModifiedBy>
  <dcterms:created xsi:type="dcterms:W3CDTF">2025-11-21T15:01:03Z</dcterms:created>
  <dcterms:modified xsi:type="dcterms:W3CDTF">2025-11-21T15:01:59Z</dcterms:modified>
</cp:coreProperties>
</file>